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filterPrivacy="1" defaultThemeVersion="166925"/>
  <xr:revisionPtr revIDLastSave="0" documentId="6_{545FC344-7131-4A77-AF1C-4F2FEF303FE9}" xr6:coauthVersionLast="47" xr6:coauthVersionMax="47" xr10:uidLastSave="{00000000-0000-0000-0000-000000000000}"/>
  <bookViews>
    <workbookView xWindow="-110" yWindow="-110" windowWidth="19420" windowHeight="10420" xr2:uid="{368B135D-14A8-4707-A4A9-8B692AD8CD57}"/>
  </bookViews>
  <sheets>
    <sheet name="Digital signal processin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19" i="1" l="1"/>
  <c r="AA19" i="1" s="1"/>
  <c r="AJ20" i="1" s="1"/>
  <c r="T15" i="1"/>
  <c r="L20" i="1"/>
  <c r="R20" i="1" s="1"/>
  <c r="AJ21" i="1"/>
  <c r="W20" i="1" l="1"/>
  <c r="AA22" i="1"/>
  <c r="G20" i="1"/>
  <c r="AA23" i="1" l="1"/>
  <c r="AJ22" i="1"/>
  <c r="D20" i="1"/>
  <c r="F20" i="1" s="1"/>
  <c r="J20" i="1"/>
  <c r="C20" i="1"/>
  <c r="H20" i="1" l="1"/>
  <c r="I20" i="1" s="1"/>
  <c r="M20" i="1"/>
  <c r="AA24" i="1"/>
  <c r="AJ23" i="1"/>
  <c r="B21" i="1"/>
  <c r="D21" i="1" l="1"/>
  <c r="M21" i="1" s="1"/>
  <c r="L21" i="1"/>
  <c r="R21" i="1" s="1"/>
  <c r="AA25" i="1"/>
  <c r="AJ24" i="1"/>
  <c r="G21" i="1"/>
  <c r="C21" i="1"/>
  <c r="B22" i="1"/>
  <c r="W21" i="1" l="1"/>
  <c r="D22" i="1"/>
  <c r="M22" i="1" s="1"/>
  <c r="L22" i="1"/>
  <c r="R22" i="1" s="1"/>
  <c r="AA26" i="1"/>
  <c r="AJ25" i="1"/>
  <c r="F21" i="1"/>
  <c r="E21" i="1"/>
  <c r="G22" i="1"/>
  <c r="C22" i="1"/>
  <c r="J21" i="1"/>
  <c r="B23" i="1"/>
  <c r="W22" i="1" l="1"/>
  <c r="D23" i="1"/>
  <c r="M23" i="1" s="1"/>
  <c r="L23" i="1"/>
  <c r="R23" i="1" s="1"/>
  <c r="AJ26" i="1"/>
  <c r="AA27" i="1"/>
  <c r="H21" i="1"/>
  <c r="I21" i="1" s="1"/>
  <c r="J22" i="1"/>
  <c r="F22" i="1"/>
  <c r="E22" i="1"/>
  <c r="G23" i="1"/>
  <c r="C23" i="1"/>
  <c r="B24" i="1"/>
  <c r="W23" i="1" l="1"/>
  <c r="D24" i="1"/>
  <c r="M24" i="1" s="1"/>
  <c r="L24" i="1"/>
  <c r="R24" i="1" s="1"/>
  <c r="AJ27" i="1"/>
  <c r="AA28" i="1"/>
  <c r="H22" i="1"/>
  <c r="I22" i="1" s="1"/>
  <c r="F23" i="1"/>
  <c r="E23" i="1"/>
  <c r="G24" i="1"/>
  <c r="C24" i="1"/>
  <c r="J23" i="1"/>
  <c r="B25" i="1"/>
  <c r="W24" i="1" l="1"/>
  <c r="D25" i="1"/>
  <c r="M25" i="1" s="1"/>
  <c r="L25" i="1"/>
  <c r="R25" i="1" s="1"/>
  <c r="AA29" i="1"/>
  <c r="AJ28" i="1"/>
  <c r="H23" i="1"/>
  <c r="I23" i="1" s="1"/>
  <c r="G25" i="1"/>
  <c r="C25" i="1"/>
  <c r="J24" i="1"/>
  <c r="F24" i="1"/>
  <c r="E24" i="1"/>
  <c r="B26" i="1"/>
  <c r="W25" i="1" l="1"/>
  <c r="D26" i="1"/>
  <c r="M26" i="1" s="1"/>
  <c r="L26" i="1"/>
  <c r="R26" i="1" s="1"/>
  <c r="AA30" i="1"/>
  <c r="AJ29" i="1"/>
  <c r="H24" i="1"/>
  <c r="I24" i="1" s="1"/>
  <c r="F25" i="1"/>
  <c r="E25" i="1"/>
  <c r="G26" i="1"/>
  <c r="C26" i="1"/>
  <c r="J25" i="1"/>
  <c r="B27" i="1"/>
  <c r="W26" i="1" l="1"/>
  <c r="D27" i="1"/>
  <c r="M27" i="1" s="1"/>
  <c r="L27" i="1"/>
  <c r="R27" i="1" s="1"/>
  <c r="AA31" i="1"/>
  <c r="AJ30" i="1"/>
  <c r="H25" i="1"/>
  <c r="I25" i="1" s="1"/>
  <c r="F26" i="1"/>
  <c r="E26" i="1"/>
  <c r="G27" i="1"/>
  <c r="C27" i="1"/>
  <c r="J26" i="1"/>
  <c r="B28" i="1"/>
  <c r="W27" i="1" l="1"/>
  <c r="D28" i="1"/>
  <c r="M28" i="1" s="1"/>
  <c r="L28" i="1"/>
  <c r="R28" i="1" s="1"/>
  <c r="AA32" i="1"/>
  <c r="AJ31" i="1"/>
  <c r="H26" i="1"/>
  <c r="I26" i="1" s="1"/>
  <c r="G28" i="1"/>
  <c r="C28" i="1"/>
  <c r="F27" i="1"/>
  <c r="E27" i="1"/>
  <c r="J27" i="1"/>
  <c r="B29" i="1"/>
  <c r="W28" i="1" l="1"/>
  <c r="D29" i="1"/>
  <c r="M29" i="1" s="1"/>
  <c r="L29" i="1"/>
  <c r="R29" i="1" s="1"/>
  <c r="AA33" i="1"/>
  <c r="AJ32" i="1"/>
  <c r="H27" i="1"/>
  <c r="I27" i="1" s="1"/>
  <c r="G29" i="1"/>
  <c r="C29" i="1"/>
  <c r="F28" i="1"/>
  <c r="E28" i="1"/>
  <c r="J28" i="1"/>
  <c r="B30" i="1"/>
  <c r="W29" i="1" l="1"/>
  <c r="D30" i="1"/>
  <c r="M30" i="1" s="1"/>
  <c r="L30" i="1"/>
  <c r="R30" i="1" s="1"/>
  <c r="AA34" i="1"/>
  <c r="AJ33" i="1"/>
  <c r="H28" i="1"/>
  <c r="I28" i="1" s="1"/>
  <c r="G30" i="1"/>
  <c r="C30" i="1"/>
  <c r="F29" i="1"/>
  <c r="E29" i="1"/>
  <c r="J29" i="1"/>
  <c r="B31" i="1"/>
  <c r="W30" i="1" l="1"/>
  <c r="D31" i="1"/>
  <c r="M31" i="1" s="1"/>
  <c r="L31" i="1"/>
  <c r="R31" i="1" s="1"/>
  <c r="AA35" i="1"/>
  <c r="AJ34" i="1"/>
  <c r="AN34" i="1" s="1"/>
  <c r="H29" i="1"/>
  <c r="I29" i="1" s="1"/>
  <c r="F30" i="1"/>
  <c r="E30" i="1"/>
  <c r="G31" i="1"/>
  <c r="C31" i="1"/>
  <c r="J30" i="1"/>
  <c r="B32" i="1"/>
  <c r="W31" i="1" l="1"/>
  <c r="D32" i="1"/>
  <c r="M32" i="1" s="1"/>
  <c r="L32" i="1"/>
  <c r="R32" i="1" s="1"/>
  <c r="AA36" i="1"/>
  <c r="AJ35" i="1"/>
  <c r="AN35" i="1" s="1"/>
  <c r="H30" i="1"/>
  <c r="I30" i="1" s="1"/>
  <c r="F31" i="1"/>
  <c r="E31" i="1"/>
  <c r="J31" i="1"/>
  <c r="G32" i="1"/>
  <c r="C32" i="1"/>
  <c r="B33" i="1"/>
  <c r="W32" i="1" l="1"/>
  <c r="D33" i="1"/>
  <c r="M33" i="1" s="1"/>
  <c r="L33" i="1"/>
  <c r="R33" i="1" s="1"/>
  <c r="AA37" i="1"/>
  <c r="AJ36" i="1"/>
  <c r="AN36" i="1" s="1"/>
  <c r="H31" i="1"/>
  <c r="I31" i="1" s="1"/>
  <c r="G33" i="1"/>
  <c r="C33" i="1"/>
  <c r="F32" i="1"/>
  <c r="E32" i="1"/>
  <c r="J32" i="1"/>
  <c r="B34" i="1"/>
  <c r="W33" i="1" l="1"/>
  <c r="D34" i="1"/>
  <c r="M34" i="1" s="1"/>
  <c r="L34" i="1"/>
  <c r="R34" i="1" s="1"/>
  <c r="AA38" i="1"/>
  <c r="AA39" i="1" s="1"/>
  <c r="AA40" i="1" s="1"/>
  <c r="AJ37" i="1"/>
  <c r="AN37" i="1" s="1"/>
  <c r="H32" i="1"/>
  <c r="I32" i="1" s="1"/>
  <c r="G34" i="1"/>
  <c r="C34" i="1"/>
  <c r="F33" i="1"/>
  <c r="E33" i="1"/>
  <c r="J33" i="1"/>
  <c r="B35" i="1"/>
  <c r="W34" i="1" l="1"/>
  <c r="D35" i="1"/>
  <c r="M35" i="1" s="1"/>
  <c r="L35" i="1"/>
  <c r="R35" i="1" s="1"/>
  <c r="AJ38" i="1"/>
  <c r="AN38" i="1" s="1"/>
  <c r="H33" i="1"/>
  <c r="I33" i="1" s="1"/>
  <c r="F34" i="1"/>
  <c r="E34" i="1"/>
  <c r="G35" i="1"/>
  <c r="C35" i="1"/>
  <c r="J34" i="1"/>
  <c r="B36" i="1"/>
  <c r="W35" i="1" l="1"/>
  <c r="D36" i="1"/>
  <c r="M36" i="1" s="1"/>
  <c r="L36" i="1"/>
  <c r="R36" i="1" s="1"/>
  <c r="AJ39" i="1"/>
  <c r="AJ40" i="1"/>
  <c r="H34" i="1"/>
  <c r="I34" i="1" s="1"/>
  <c r="G36" i="1"/>
  <c r="C36" i="1"/>
  <c r="J35" i="1"/>
  <c r="F35" i="1"/>
  <c r="E35" i="1"/>
  <c r="B37" i="1"/>
  <c r="W36" i="1" l="1"/>
  <c r="D37" i="1"/>
  <c r="M37" i="1" s="1"/>
  <c r="L37" i="1"/>
  <c r="R37" i="1" s="1"/>
  <c r="H35" i="1"/>
  <c r="I35" i="1" s="1"/>
  <c r="G37" i="1"/>
  <c r="C37" i="1"/>
  <c r="F36" i="1"/>
  <c r="E36" i="1"/>
  <c r="J36" i="1"/>
  <c r="B38" i="1"/>
  <c r="W37" i="1" l="1"/>
  <c r="D38" i="1"/>
  <c r="M38" i="1" s="1"/>
  <c r="L38" i="1"/>
  <c r="R38" i="1" s="1"/>
  <c r="H36" i="1"/>
  <c r="I36" i="1" s="1"/>
  <c r="G38" i="1"/>
  <c r="C38" i="1"/>
  <c r="F37" i="1"/>
  <c r="E37" i="1"/>
  <c r="J37" i="1"/>
  <c r="B39" i="1"/>
  <c r="W38" i="1" l="1"/>
  <c r="D39" i="1"/>
  <c r="M39" i="1" s="1"/>
  <c r="L39" i="1"/>
  <c r="R39" i="1" s="1"/>
  <c r="H37" i="1"/>
  <c r="I37" i="1" s="1"/>
  <c r="G39" i="1"/>
  <c r="C39" i="1"/>
  <c r="F38" i="1"/>
  <c r="E38" i="1"/>
  <c r="J38" i="1"/>
  <c r="B40" i="1"/>
  <c r="W39" i="1" l="1"/>
  <c r="D40" i="1"/>
  <c r="M40" i="1" s="1"/>
  <c r="L40" i="1"/>
  <c r="R40" i="1" s="1"/>
  <c r="W40" i="1" s="1"/>
  <c r="H38" i="1"/>
  <c r="I38" i="1" s="1"/>
  <c r="F39" i="1"/>
  <c r="E39" i="1"/>
  <c r="G40" i="1"/>
  <c r="C40" i="1"/>
  <c r="J39" i="1"/>
  <c r="B41" i="1"/>
  <c r="D41" i="1" l="1"/>
  <c r="M41" i="1" s="1"/>
  <c r="L41" i="1"/>
  <c r="R41" i="1" s="1"/>
  <c r="W41" i="1" s="1"/>
  <c r="H39" i="1"/>
  <c r="I39" i="1" s="1"/>
  <c r="F40" i="1"/>
  <c r="E40" i="1"/>
  <c r="J40" i="1"/>
  <c r="G41" i="1"/>
  <c r="C41" i="1"/>
  <c r="B42" i="1"/>
  <c r="D42" i="1" l="1"/>
  <c r="M42" i="1" s="1"/>
  <c r="L42" i="1"/>
  <c r="R42" i="1" s="1"/>
  <c r="H40" i="1"/>
  <c r="I40" i="1" s="1"/>
  <c r="G42" i="1"/>
  <c r="C42" i="1"/>
  <c r="F41" i="1"/>
  <c r="E41" i="1"/>
  <c r="J41" i="1"/>
  <c r="B43" i="1"/>
  <c r="D43" i="1" l="1"/>
  <c r="M43" i="1" s="1"/>
  <c r="L43" i="1"/>
  <c r="R43" i="1" s="1"/>
  <c r="H41" i="1"/>
  <c r="I41" i="1" s="1"/>
  <c r="G43" i="1"/>
  <c r="C43" i="1"/>
  <c r="F42" i="1"/>
  <c r="E42" i="1"/>
  <c r="J42" i="1"/>
  <c r="B44" i="1"/>
  <c r="D44" i="1" l="1"/>
  <c r="M44" i="1" s="1"/>
  <c r="L44" i="1"/>
  <c r="R44" i="1" s="1"/>
  <c r="H42" i="1"/>
  <c r="I42" i="1" s="1"/>
  <c r="F43" i="1"/>
  <c r="E43" i="1"/>
  <c r="G44" i="1"/>
  <c r="C44" i="1"/>
  <c r="J43" i="1"/>
  <c r="B45" i="1"/>
  <c r="D45" i="1" l="1"/>
  <c r="M45" i="1" s="1"/>
  <c r="L45" i="1"/>
  <c r="R45" i="1" s="1"/>
  <c r="H43" i="1"/>
  <c r="I43" i="1" s="1"/>
  <c r="G45" i="1"/>
  <c r="C45" i="1"/>
  <c r="F44" i="1"/>
  <c r="E44" i="1"/>
  <c r="J44" i="1"/>
  <c r="B46" i="1"/>
  <c r="D46" i="1" l="1"/>
  <c r="M46" i="1" s="1"/>
  <c r="L46" i="1"/>
  <c r="R46" i="1" s="1"/>
  <c r="H44" i="1"/>
  <c r="I44" i="1" s="1"/>
  <c r="G46" i="1"/>
  <c r="C46" i="1"/>
  <c r="F45" i="1"/>
  <c r="E45" i="1"/>
  <c r="J45" i="1"/>
  <c r="B47" i="1"/>
  <c r="D47" i="1" l="1"/>
  <c r="M47" i="1" s="1"/>
  <c r="L47" i="1"/>
  <c r="R47" i="1" s="1"/>
  <c r="H45" i="1"/>
  <c r="I45" i="1" s="1"/>
  <c r="G47" i="1"/>
  <c r="C47" i="1"/>
  <c r="F46" i="1"/>
  <c r="E46" i="1"/>
  <c r="J46" i="1"/>
  <c r="B48" i="1"/>
  <c r="D48" i="1" l="1"/>
  <c r="M48" i="1" s="1"/>
  <c r="L48" i="1"/>
  <c r="R48" i="1" s="1"/>
  <c r="H46" i="1"/>
  <c r="I46" i="1" s="1"/>
  <c r="G48" i="1"/>
  <c r="C48" i="1"/>
  <c r="F47" i="1"/>
  <c r="E47" i="1"/>
  <c r="J47" i="1"/>
  <c r="B49" i="1"/>
  <c r="D49" i="1" l="1"/>
  <c r="M49" i="1" s="1"/>
  <c r="L49" i="1"/>
  <c r="R49" i="1" s="1"/>
  <c r="H47" i="1"/>
  <c r="I47" i="1" s="1"/>
  <c r="G49" i="1"/>
  <c r="C49" i="1"/>
  <c r="F48" i="1"/>
  <c r="E48" i="1"/>
  <c r="J48" i="1"/>
  <c r="B50" i="1"/>
  <c r="D50" i="1" l="1"/>
  <c r="M50" i="1" s="1"/>
  <c r="L50" i="1"/>
  <c r="R50" i="1" s="1"/>
  <c r="H48" i="1"/>
  <c r="I48" i="1" s="1"/>
  <c r="G50" i="1"/>
  <c r="C50" i="1"/>
  <c r="F49" i="1"/>
  <c r="E49" i="1"/>
  <c r="J49" i="1"/>
  <c r="B51" i="1"/>
  <c r="D51" i="1" l="1"/>
  <c r="M51" i="1" s="1"/>
  <c r="L51" i="1"/>
  <c r="R51" i="1" s="1"/>
  <c r="H49" i="1"/>
  <c r="I49" i="1" s="1"/>
  <c r="G51" i="1"/>
  <c r="C51" i="1"/>
  <c r="F50" i="1"/>
  <c r="E50" i="1"/>
  <c r="J50" i="1"/>
  <c r="B52" i="1"/>
  <c r="D52" i="1" l="1"/>
  <c r="M52" i="1" s="1"/>
  <c r="L52" i="1"/>
  <c r="R52" i="1" s="1"/>
  <c r="H50" i="1"/>
  <c r="I50" i="1" s="1"/>
  <c r="G52" i="1"/>
  <c r="C52" i="1"/>
  <c r="F51" i="1"/>
  <c r="E51" i="1"/>
  <c r="J51" i="1"/>
  <c r="B53" i="1"/>
  <c r="D53" i="1" l="1"/>
  <c r="M53" i="1" s="1"/>
  <c r="L53" i="1"/>
  <c r="R53" i="1" s="1"/>
  <c r="H51" i="1"/>
  <c r="I51" i="1" s="1"/>
  <c r="F52" i="1"/>
  <c r="E52" i="1"/>
  <c r="G53" i="1"/>
  <c r="C53" i="1"/>
  <c r="J52" i="1"/>
  <c r="B54" i="1"/>
  <c r="D54" i="1" l="1"/>
  <c r="M54" i="1" s="1"/>
  <c r="L54" i="1"/>
  <c r="R54" i="1" s="1"/>
  <c r="H52" i="1"/>
  <c r="I52" i="1" s="1"/>
  <c r="G54" i="1"/>
  <c r="C54" i="1"/>
  <c r="F53" i="1"/>
  <c r="E53" i="1"/>
  <c r="J53" i="1"/>
  <c r="B55" i="1"/>
  <c r="D55" i="1" l="1"/>
  <c r="M55" i="1" s="1"/>
  <c r="L55" i="1"/>
  <c r="R55" i="1" s="1"/>
  <c r="H53" i="1"/>
  <c r="I53" i="1" s="1"/>
  <c r="G55" i="1"/>
  <c r="C55" i="1"/>
  <c r="F54" i="1"/>
  <c r="E54" i="1"/>
  <c r="J54" i="1"/>
  <c r="B56" i="1"/>
  <c r="D56" i="1" l="1"/>
  <c r="M56" i="1" s="1"/>
  <c r="L56" i="1"/>
  <c r="R56" i="1" s="1"/>
  <c r="H54" i="1"/>
  <c r="I54" i="1" s="1"/>
  <c r="G56" i="1"/>
  <c r="C56" i="1"/>
  <c r="F55" i="1"/>
  <c r="E55" i="1"/>
  <c r="J55" i="1"/>
  <c r="B57" i="1"/>
  <c r="D57" i="1" l="1"/>
  <c r="M57" i="1" s="1"/>
  <c r="L57" i="1"/>
  <c r="R57" i="1" s="1"/>
  <c r="H55" i="1"/>
  <c r="I55" i="1" s="1"/>
  <c r="F56" i="1"/>
  <c r="E56" i="1"/>
  <c r="G57" i="1"/>
  <c r="C57" i="1"/>
  <c r="J56" i="1"/>
  <c r="B58" i="1"/>
  <c r="D58" i="1" l="1"/>
  <c r="M58" i="1" s="1"/>
  <c r="L58" i="1"/>
  <c r="R58" i="1" s="1"/>
  <c r="H56" i="1"/>
  <c r="I56" i="1" s="1"/>
  <c r="G58" i="1"/>
  <c r="C58" i="1"/>
  <c r="J57" i="1"/>
  <c r="F57" i="1"/>
  <c r="E57" i="1"/>
  <c r="B59" i="1"/>
  <c r="D59" i="1" l="1"/>
  <c r="M59" i="1" s="1"/>
  <c r="L59" i="1"/>
  <c r="R59" i="1" s="1"/>
  <c r="H57" i="1"/>
  <c r="I57" i="1" s="1"/>
  <c r="G59" i="1"/>
  <c r="C59" i="1"/>
  <c r="F58" i="1"/>
  <c r="E58" i="1"/>
  <c r="J58" i="1"/>
  <c r="B60" i="1"/>
  <c r="D60" i="1" l="1"/>
  <c r="M60" i="1" s="1"/>
  <c r="L60" i="1"/>
  <c r="R60" i="1" s="1"/>
  <c r="H58" i="1"/>
  <c r="I58" i="1" s="1"/>
  <c r="G60" i="1"/>
  <c r="C60" i="1"/>
  <c r="F59" i="1"/>
  <c r="E59" i="1"/>
  <c r="J59" i="1"/>
  <c r="B61" i="1"/>
  <c r="D61" i="1" l="1"/>
  <c r="M61" i="1" s="1"/>
  <c r="L61" i="1"/>
  <c r="R61" i="1" s="1"/>
  <c r="H59" i="1"/>
  <c r="I59" i="1" s="1"/>
  <c r="F60" i="1"/>
  <c r="E60" i="1"/>
  <c r="G61" i="1"/>
  <c r="C61" i="1"/>
  <c r="J60" i="1"/>
  <c r="B62" i="1"/>
  <c r="D62" i="1" l="1"/>
  <c r="M62" i="1" s="1"/>
  <c r="L62" i="1"/>
  <c r="R62" i="1" s="1"/>
  <c r="H60" i="1"/>
  <c r="I60" i="1" s="1"/>
  <c r="G62" i="1"/>
  <c r="C62" i="1"/>
  <c r="F61" i="1"/>
  <c r="E61" i="1"/>
  <c r="J61" i="1"/>
  <c r="B63" i="1"/>
  <c r="D63" i="1" l="1"/>
  <c r="M63" i="1" s="1"/>
  <c r="L63" i="1"/>
  <c r="R63" i="1" s="1"/>
  <c r="H61" i="1"/>
  <c r="I61" i="1" s="1"/>
  <c r="F62" i="1"/>
  <c r="E62" i="1"/>
  <c r="G63" i="1"/>
  <c r="C63" i="1"/>
  <c r="J62" i="1"/>
  <c r="B64" i="1"/>
  <c r="D64" i="1" l="1"/>
  <c r="M64" i="1" s="1"/>
  <c r="L64" i="1"/>
  <c r="R64" i="1" s="1"/>
  <c r="H62" i="1"/>
  <c r="I62" i="1" s="1"/>
  <c r="F63" i="1"/>
  <c r="E63" i="1"/>
  <c r="J63" i="1"/>
  <c r="G64" i="1"/>
  <c r="C64" i="1"/>
  <c r="B65" i="1"/>
  <c r="D65" i="1" l="1"/>
  <c r="M65" i="1" s="1"/>
  <c r="L65" i="1"/>
  <c r="R65" i="1" s="1"/>
  <c r="H63" i="1"/>
  <c r="I63" i="1" s="1"/>
  <c r="G65" i="1"/>
  <c r="C65" i="1"/>
  <c r="F64" i="1"/>
  <c r="E64" i="1"/>
  <c r="J64" i="1"/>
  <c r="B66" i="1"/>
  <c r="D66" i="1" l="1"/>
  <c r="M66" i="1" s="1"/>
  <c r="L66" i="1"/>
  <c r="R66" i="1" s="1"/>
  <c r="H64" i="1"/>
  <c r="I64" i="1" s="1"/>
  <c r="F65" i="1"/>
  <c r="E65" i="1"/>
  <c r="G66" i="1"/>
  <c r="C66" i="1"/>
  <c r="J65" i="1"/>
  <c r="B67" i="1"/>
  <c r="D67" i="1" l="1"/>
  <c r="M67" i="1" s="1"/>
  <c r="L67" i="1"/>
  <c r="R67" i="1" s="1"/>
  <c r="H65" i="1"/>
  <c r="I65" i="1" s="1"/>
  <c r="G67" i="1"/>
  <c r="C67" i="1"/>
  <c r="F66" i="1"/>
  <c r="E66" i="1"/>
  <c r="J66" i="1"/>
  <c r="B68" i="1"/>
  <c r="D68" i="1" l="1"/>
  <c r="M68" i="1" s="1"/>
  <c r="L68" i="1"/>
  <c r="R68" i="1" s="1"/>
  <c r="H66" i="1"/>
  <c r="I66" i="1" s="1"/>
  <c r="G68" i="1"/>
  <c r="C68" i="1"/>
  <c r="F67" i="1"/>
  <c r="E67" i="1"/>
  <c r="J67" i="1"/>
  <c r="B69" i="1"/>
  <c r="D69" i="1" l="1"/>
  <c r="M69" i="1" s="1"/>
  <c r="L69" i="1"/>
  <c r="R69" i="1" s="1"/>
  <c r="H67" i="1"/>
  <c r="I67" i="1" s="1"/>
  <c r="F68" i="1"/>
  <c r="E68" i="1"/>
  <c r="G69" i="1"/>
  <c r="C69" i="1"/>
  <c r="J68" i="1"/>
  <c r="B70" i="1"/>
  <c r="D70" i="1" l="1"/>
  <c r="M70" i="1" s="1"/>
  <c r="L70" i="1"/>
  <c r="R70" i="1" s="1"/>
  <c r="H68" i="1"/>
  <c r="I68" i="1" s="1"/>
  <c r="G70" i="1"/>
  <c r="C70" i="1"/>
  <c r="F69" i="1"/>
  <c r="E69" i="1"/>
  <c r="J69" i="1"/>
  <c r="B71" i="1"/>
  <c r="D71" i="1" l="1"/>
  <c r="M71" i="1" s="1"/>
  <c r="L71" i="1"/>
  <c r="R71" i="1" s="1"/>
  <c r="H69" i="1"/>
  <c r="I69" i="1" s="1"/>
  <c r="F70" i="1"/>
  <c r="E70" i="1"/>
  <c r="G71" i="1"/>
  <c r="C71" i="1"/>
  <c r="J70" i="1"/>
  <c r="B72" i="1"/>
  <c r="D72" i="1" l="1"/>
  <c r="M72" i="1" s="1"/>
  <c r="L72" i="1"/>
  <c r="R72" i="1" s="1"/>
  <c r="H70" i="1"/>
  <c r="I70" i="1" s="1"/>
  <c r="G72" i="1"/>
  <c r="C72" i="1"/>
  <c r="F71" i="1"/>
  <c r="E71" i="1"/>
  <c r="J71" i="1"/>
  <c r="B73" i="1"/>
  <c r="D73" i="1" l="1"/>
  <c r="M73" i="1" s="1"/>
  <c r="L73" i="1"/>
  <c r="R73" i="1" s="1"/>
  <c r="H71" i="1"/>
  <c r="I71" i="1" s="1"/>
  <c r="F72" i="1"/>
  <c r="E72" i="1"/>
  <c r="G73" i="1"/>
  <c r="C73" i="1"/>
  <c r="J72" i="1"/>
  <c r="B74" i="1"/>
  <c r="D74" i="1" l="1"/>
  <c r="M74" i="1" s="1"/>
  <c r="L74" i="1"/>
  <c r="R74" i="1" s="1"/>
  <c r="H72" i="1"/>
  <c r="I72" i="1" s="1"/>
  <c r="G74" i="1"/>
  <c r="C74" i="1"/>
  <c r="F73" i="1"/>
  <c r="E73" i="1"/>
  <c r="J73" i="1"/>
  <c r="B75" i="1"/>
  <c r="D75" i="1" l="1"/>
  <c r="M75" i="1" s="1"/>
  <c r="L75" i="1"/>
  <c r="R75" i="1" s="1"/>
  <c r="H73" i="1"/>
  <c r="I73" i="1" s="1"/>
  <c r="G75" i="1"/>
  <c r="C75" i="1"/>
  <c r="F74" i="1"/>
  <c r="E74" i="1"/>
  <c r="J74" i="1"/>
  <c r="B76" i="1"/>
  <c r="D76" i="1" l="1"/>
  <c r="M76" i="1" s="1"/>
  <c r="L76" i="1"/>
  <c r="R76" i="1" s="1"/>
  <c r="H74" i="1"/>
  <c r="I74" i="1" s="1"/>
  <c r="G76" i="1"/>
  <c r="C76" i="1"/>
  <c r="F75" i="1"/>
  <c r="E75" i="1"/>
  <c r="J75" i="1"/>
  <c r="B77" i="1"/>
  <c r="D77" i="1" l="1"/>
  <c r="M77" i="1" s="1"/>
  <c r="L77" i="1"/>
  <c r="R77" i="1" s="1"/>
  <c r="H75" i="1"/>
  <c r="I75" i="1" s="1"/>
  <c r="F76" i="1"/>
  <c r="E76" i="1"/>
  <c r="G77" i="1"/>
  <c r="C77" i="1"/>
  <c r="J76" i="1"/>
  <c r="B78" i="1"/>
  <c r="D78" i="1" l="1"/>
  <c r="M78" i="1" s="1"/>
  <c r="L78" i="1"/>
  <c r="R78" i="1" s="1"/>
  <c r="H76" i="1"/>
  <c r="I76" i="1" s="1"/>
  <c r="G78" i="1"/>
  <c r="C78" i="1"/>
  <c r="F77" i="1"/>
  <c r="E77" i="1"/>
  <c r="J77" i="1"/>
  <c r="B79" i="1"/>
  <c r="D79" i="1" l="1"/>
  <c r="M79" i="1" s="1"/>
  <c r="L79" i="1"/>
  <c r="R79" i="1" s="1"/>
  <c r="H77" i="1"/>
  <c r="I77" i="1" s="1"/>
  <c r="F78" i="1"/>
  <c r="E78" i="1"/>
  <c r="G79" i="1"/>
  <c r="C79" i="1"/>
  <c r="J78" i="1"/>
  <c r="B80" i="1"/>
  <c r="D80" i="1" l="1"/>
  <c r="M80" i="1" s="1"/>
  <c r="L80" i="1"/>
  <c r="R80" i="1" s="1"/>
  <c r="H78" i="1"/>
  <c r="I78" i="1" s="1"/>
  <c r="G80" i="1"/>
  <c r="C80" i="1"/>
  <c r="F79" i="1"/>
  <c r="E79" i="1"/>
  <c r="J79" i="1"/>
  <c r="B81" i="1"/>
  <c r="D81" i="1" l="1"/>
  <c r="M81" i="1" s="1"/>
  <c r="L81" i="1"/>
  <c r="R81" i="1" s="1"/>
  <c r="H79" i="1"/>
  <c r="I79" i="1" s="1"/>
  <c r="F80" i="1"/>
  <c r="E80" i="1"/>
  <c r="G81" i="1"/>
  <c r="C81" i="1"/>
  <c r="J80" i="1"/>
  <c r="B82" i="1"/>
  <c r="D82" i="1" l="1"/>
  <c r="M82" i="1" s="1"/>
  <c r="L82" i="1"/>
  <c r="R82" i="1" s="1"/>
  <c r="H80" i="1"/>
  <c r="I80" i="1" s="1"/>
  <c r="G82" i="1"/>
  <c r="C82" i="1"/>
  <c r="F81" i="1"/>
  <c r="E81" i="1"/>
  <c r="J81" i="1"/>
  <c r="B83" i="1"/>
  <c r="D83" i="1" l="1"/>
  <c r="M83" i="1" s="1"/>
  <c r="L83" i="1"/>
  <c r="R83" i="1" s="1"/>
  <c r="H81" i="1"/>
  <c r="I81" i="1" s="1"/>
  <c r="F82" i="1"/>
  <c r="E82" i="1"/>
  <c r="G83" i="1"/>
  <c r="C83" i="1"/>
  <c r="J82" i="1"/>
  <c r="B84" i="1"/>
  <c r="D84" i="1" l="1"/>
  <c r="M84" i="1" s="1"/>
  <c r="L84" i="1"/>
  <c r="R84" i="1" s="1"/>
  <c r="H82" i="1"/>
  <c r="I82" i="1" s="1"/>
  <c r="G84" i="1"/>
  <c r="C84" i="1"/>
  <c r="F83" i="1"/>
  <c r="E83" i="1"/>
  <c r="J83" i="1"/>
  <c r="B85" i="1"/>
  <c r="D85" i="1" l="1"/>
  <c r="M85" i="1" s="1"/>
  <c r="L85" i="1"/>
  <c r="R85" i="1" s="1"/>
  <c r="H83" i="1"/>
  <c r="I83" i="1" s="1"/>
  <c r="F84" i="1"/>
  <c r="E84" i="1"/>
  <c r="G85" i="1"/>
  <c r="C85" i="1"/>
  <c r="J84" i="1"/>
  <c r="B86" i="1"/>
  <c r="D86" i="1" l="1"/>
  <c r="M86" i="1" s="1"/>
  <c r="L86" i="1"/>
  <c r="R86" i="1" s="1"/>
  <c r="H84" i="1"/>
  <c r="I84" i="1" s="1"/>
  <c r="G86" i="1"/>
  <c r="C86" i="1"/>
  <c r="F85" i="1"/>
  <c r="E85" i="1"/>
  <c r="J85" i="1"/>
  <c r="B87" i="1"/>
  <c r="D87" i="1" l="1"/>
  <c r="M87" i="1" s="1"/>
  <c r="L87" i="1"/>
  <c r="R87" i="1" s="1"/>
  <c r="H85" i="1"/>
  <c r="I85" i="1" s="1"/>
  <c r="F86" i="1"/>
  <c r="E86" i="1"/>
  <c r="G87" i="1"/>
  <c r="C87" i="1"/>
  <c r="J86" i="1"/>
  <c r="B88" i="1"/>
  <c r="D88" i="1" l="1"/>
  <c r="M88" i="1" s="1"/>
  <c r="L88" i="1"/>
  <c r="R88" i="1" s="1"/>
  <c r="H86" i="1"/>
  <c r="I86" i="1" s="1"/>
  <c r="G88" i="1"/>
  <c r="C88" i="1"/>
  <c r="F87" i="1"/>
  <c r="E87" i="1"/>
  <c r="J87" i="1"/>
  <c r="B89" i="1"/>
  <c r="D89" i="1" l="1"/>
  <c r="M89" i="1" s="1"/>
  <c r="L89" i="1"/>
  <c r="R89" i="1" s="1"/>
  <c r="H87" i="1"/>
  <c r="I87" i="1" s="1"/>
  <c r="F88" i="1"/>
  <c r="E88" i="1"/>
  <c r="G89" i="1"/>
  <c r="C89" i="1"/>
  <c r="J88" i="1"/>
  <c r="B90" i="1"/>
  <c r="D90" i="1" l="1"/>
  <c r="M90" i="1" s="1"/>
  <c r="L90" i="1"/>
  <c r="R90" i="1" s="1"/>
  <c r="H88" i="1"/>
  <c r="I88" i="1" s="1"/>
  <c r="F89" i="1"/>
  <c r="E89" i="1"/>
  <c r="J89" i="1"/>
  <c r="G90" i="1"/>
  <c r="C90" i="1"/>
  <c r="B91" i="1"/>
  <c r="D91" i="1" l="1"/>
  <c r="M91" i="1" s="1"/>
  <c r="L91" i="1"/>
  <c r="R91" i="1" s="1"/>
  <c r="H89" i="1"/>
  <c r="I89" i="1" s="1"/>
  <c r="G91" i="1"/>
  <c r="C91" i="1"/>
  <c r="F90" i="1"/>
  <c r="E90" i="1"/>
  <c r="J90" i="1"/>
  <c r="B92" i="1"/>
  <c r="D92" i="1" l="1"/>
  <c r="M92" i="1" s="1"/>
  <c r="L92" i="1"/>
  <c r="R92" i="1" s="1"/>
  <c r="H90" i="1"/>
  <c r="I90" i="1" s="1"/>
  <c r="G92" i="1"/>
  <c r="C92" i="1"/>
  <c r="F91" i="1"/>
  <c r="E91" i="1"/>
  <c r="J91" i="1"/>
  <c r="B93" i="1"/>
  <c r="D93" i="1" l="1"/>
  <c r="M93" i="1" s="1"/>
  <c r="L93" i="1"/>
  <c r="R93" i="1" s="1"/>
  <c r="H91" i="1"/>
  <c r="I91" i="1" s="1"/>
  <c r="G93" i="1"/>
  <c r="C93" i="1"/>
  <c r="F92" i="1"/>
  <c r="E92" i="1"/>
  <c r="J92" i="1"/>
  <c r="B94" i="1"/>
  <c r="D94" i="1" l="1"/>
  <c r="M94" i="1" s="1"/>
  <c r="L94" i="1"/>
  <c r="R94" i="1" s="1"/>
  <c r="H92" i="1"/>
  <c r="I92" i="1" s="1"/>
  <c r="F93" i="1"/>
  <c r="E93" i="1"/>
  <c r="G94" i="1"/>
  <c r="C94" i="1"/>
  <c r="J93" i="1"/>
  <c r="B95" i="1"/>
  <c r="D95" i="1" l="1"/>
  <c r="M95" i="1" s="1"/>
  <c r="L95" i="1"/>
  <c r="R95" i="1" s="1"/>
  <c r="H93" i="1"/>
  <c r="I93" i="1" s="1"/>
  <c r="G95" i="1"/>
  <c r="C95" i="1"/>
  <c r="F94" i="1"/>
  <c r="E94" i="1"/>
  <c r="J94" i="1"/>
  <c r="B96" i="1"/>
  <c r="D96" i="1" l="1"/>
  <c r="M96" i="1" s="1"/>
  <c r="L96" i="1"/>
  <c r="R96" i="1" s="1"/>
  <c r="H94" i="1"/>
  <c r="I94" i="1" s="1"/>
  <c r="G96" i="1"/>
  <c r="C96" i="1"/>
  <c r="F95" i="1"/>
  <c r="E95" i="1"/>
  <c r="J95" i="1"/>
  <c r="B97" i="1"/>
  <c r="D97" i="1" l="1"/>
  <c r="M97" i="1" s="1"/>
  <c r="L97" i="1"/>
  <c r="R97" i="1" s="1"/>
  <c r="H95" i="1"/>
  <c r="I95" i="1" s="1"/>
  <c r="G97" i="1"/>
  <c r="C97" i="1"/>
  <c r="F96" i="1"/>
  <c r="E96" i="1"/>
  <c r="J96" i="1"/>
  <c r="B98" i="1"/>
  <c r="D98" i="1" l="1"/>
  <c r="M98" i="1" s="1"/>
  <c r="L98" i="1"/>
  <c r="R98" i="1" s="1"/>
  <c r="H96" i="1"/>
  <c r="I96" i="1" s="1"/>
  <c r="F97" i="1"/>
  <c r="E97" i="1"/>
  <c r="G98" i="1"/>
  <c r="C98" i="1"/>
  <c r="J97" i="1"/>
  <c r="B99" i="1"/>
  <c r="D99" i="1" l="1"/>
  <c r="M99" i="1" s="1"/>
  <c r="L99" i="1"/>
  <c r="R99" i="1" s="1"/>
  <c r="H97" i="1"/>
  <c r="I97" i="1" s="1"/>
  <c r="F98" i="1"/>
  <c r="E98" i="1"/>
  <c r="J98" i="1"/>
  <c r="G99" i="1"/>
  <c r="C99" i="1"/>
  <c r="B100" i="1"/>
  <c r="D100" i="1" l="1"/>
  <c r="M100" i="1" s="1"/>
  <c r="L100" i="1"/>
  <c r="R100" i="1" s="1"/>
  <c r="H98" i="1"/>
  <c r="I98" i="1" s="1"/>
  <c r="G100" i="1"/>
  <c r="C100" i="1"/>
  <c r="F99" i="1"/>
  <c r="E99" i="1"/>
  <c r="J99" i="1"/>
  <c r="B101" i="1"/>
  <c r="D101" i="1" l="1"/>
  <c r="M101" i="1" s="1"/>
  <c r="L101" i="1"/>
  <c r="R101" i="1" s="1"/>
  <c r="H99" i="1"/>
  <c r="I99" i="1" s="1"/>
  <c r="F100" i="1"/>
  <c r="E100" i="1"/>
  <c r="G101" i="1"/>
  <c r="C101" i="1"/>
  <c r="J100" i="1"/>
  <c r="B102" i="1"/>
  <c r="D102" i="1" l="1"/>
  <c r="M102" i="1" s="1"/>
  <c r="L102" i="1"/>
  <c r="R102" i="1" s="1"/>
  <c r="H100" i="1"/>
  <c r="I100" i="1" s="1"/>
  <c r="F101" i="1"/>
  <c r="E101" i="1"/>
  <c r="G102" i="1"/>
  <c r="C102" i="1"/>
  <c r="J101" i="1"/>
  <c r="B103" i="1"/>
  <c r="D103" i="1" l="1"/>
  <c r="M103" i="1" s="1"/>
  <c r="L103" i="1"/>
  <c r="R103" i="1" s="1"/>
  <c r="H101" i="1"/>
  <c r="I101" i="1" s="1"/>
  <c r="F102" i="1"/>
  <c r="E102" i="1"/>
  <c r="J102" i="1"/>
  <c r="G103" i="1"/>
  <c r="C103" i="1"/>
  <c r="B104" i="1"/>
  <c r="D104" i="1" l="1"/>
  <c r="M104" i="1" s="1"/>
  <c r="L104" i="1"/>
  <c r="R104" i="1" s="1"/>
  <c r="H102" i="1"/>
  <c r="I102" i="1" s="1"/>
  <c r="G104" i="1"/>
  <c r="C104" i="1"/>
  <c r="F103" i="1"/>
  <c r="E103" i="1"/>
  <c r="J103" i="1"/>
  <c r="B105" i="1"/>
  <c r="D105" i="1" l="1"/>
  <c r="M105" i="1" s="1"/>
  <c r="L105" i="1"/>
  <c r="R105" i="1" s="1"/>
  <c r="H103" i="1"/>
  <c r="I103" i="1" s="1"/>
  <c r="F104" i="1"/>
  <c r="E104" i="1"/>
  <c r="G105" i="1"/>
  <c r="C105" i="1"/>
  <c r="J104" i="1"/>
  <c r="B106" i="1"/>
  <c r="D106" i="1" l="1"/>
  <c r="M106" i="1" s="1"/>
  <c r="L106" i="1"/>
  <c r="R106" i="1" s="1"/>
  <c r="H104" i="1"/>
  <c r="I104" i="1" s="1"/>
  <c r="G106" i="1"/>
  <c r="C106" i="1"/>
  <c r="J105" i="1"/>
  <c r="F105" i="1"/>
  <c r="E105" i="1"/>
  <c r="B107" i="1"/>
  <c r="D107" i="1" l="1"/>
  <c r="M107" i="1" s="1"/>
  <c r="L107" i="1"/>
  <c r="R107" i="1" s="1"/>
  <c r="H105" i="1"/>
  <c r="I105" i="1" s="1"/>
  <c r="G107" i="1"/>
  <c r="C107" i="1"/>
  <c r="F106" i="1"/>
  <c r="E106" i="1"/>
  <c r="J106" i="1"/>
  <c r="B108" i="1"/>
  <c r="D108" i="1" l="1"/>
  <c r="M108" i="1" s="1"/>
  <c r="L108" i="1"/>
  <c r="R108" i="1" s="1"/>
  <c r="H106" i="1"/>
  <c r="I106" i="1" s="1"/>
  <c r="G108" i="1"/>
  <c r="C108" i="1"/>
  <c r="F107" i="1"/>
  <c r="E107" i="1"/>
  <c r="J107" i="1"/>
  <c r="B109" i="1"/>
  <c r="D109" i="1" l="1"/>
  <c r="M109" i="1" s="1"/>
  <c r="L109" i="1"/>
  <c r="R109" i="1" s="1"/>
  <c r="H107" i="1"/>
  <c r="I107" i="1" s="1"/>
  <c r="G109" i="1"/>
  <c r="C109" i="1"/>
  <c r="F108" i="1"/>
  <c r="E108" i="1"/>
  <c r="J108" i="1"/>
  <c r="B110" i="1"/>
  <c r="D110" i="1" l="1"/>
  <c r="M110" i="1" s="1"/>
  <c r="L110" i="1"/>
  <c r="R110" i="1" s="1"/>
  <c r="H108" i="1"/>
  <c r="I108" i="1" s="1"/>
  <c r="F109" i="1"/>
  <c r="E109" i="1"/>
  <c r="G110" i="1"/>
  <c r="C110" i="1"/>
  <c r="J109" i="1"/>
  <c r="B111" i="1"/>
  <c r="D111" i="1" l="1"/>
  <c r="M111" i="1" s="1"/>
  <c r="L111" i="1"/>
  <c r="R111" i="1" s="1"/>
  <c r="H109" i="1"/>
  <c r="I109" i="1" s="1"/>
  <c r="G111" i="1"/>
  <c r="C111" i="1"/>
  <c r="F110" i="1"/>
  <c r="E110" i="1"/>
  <c r="J110" i="1"/>
  <c r="B112" i="1"/>
  <c r="D112" i="1" l="1"/>
  <c r="M112" i="1" s="1"/>
  <c r="L112" i="1"/>
  <c r="R112" i="1" s="1"/>
  <c r="H110" i="1"/>
  <c r="I110" i="1" s="1"/>
  <c r="F111" i="1"/>
  <c r="E111" i="1"/>
  <c r="G112" i="1"/>
  <c r="C112" i="1"/>
  <c r="J111" i="1"/>
  <c r="B113" i="1"/>
  <c r="D113" i="1" l="1"/>
  <c r="M113" i="1" s="1"/>
  <c r="L113" i="1"/>
  <c r="R113" i="1" s="1"/>
  <c r="H111" i="1"/>
  <c r="I111" i="1" s="1"/>
  <c r="G113" i="1"/>
  <c r="C113" i="1"/>
  <c r="J112" i="1"/>
  <c r="F112" i="1"/>
  <c r="E112" i="1"/>
  <c r="B114" i="1"/>
  <c r="D114" i="1" l="1"/>
  <c r="M114" i="1" s="1"/>
  <c r="L114" i="1"/>
  <c r="R114" i="1" s="1"/>
  <c r="H112" i="1"/>
  <c r="I112" i="1" s="1"/>
  <c r="G114" i="1"/>
  <c r="C114" i="1"/>
  <c r="F113" i="1"/>
  <c r="E113" i="1"/>
  <c r="J113" i="1"/>
  <c r="B115" i="1"/>
  <c r="D115" i="1" l="1"/>
  <c r="M115" i="1" s="1"/>
  <c r="L115" i="1"/>
  <c r="R115" i="1" s="1"/>
  <c r="H113" i="1"/>
  <c r="I113" i="1" s="1"/>
  <c r="F114" i="1"/>
  <c r="E114" i="1"/>
  <c r="G115" i="1"/>
  <c r="C115" i="1"/>
  <c r="J114" i="1"/>
  <c r="B116" i="1"/>
  <c r="D116" i="1" l="1"/>
  <c r="M116" i="1" s="1"/>
  <c r="L116" i="1"/>
  <c r="R116" i="1" s="1"/>
  <c r="H114" i="1"/>
  <c r="I114" i="1" s="1"/>
  <c r="F115" i="1"/>
  <c r="E115" i="1"/>
  <c r="J115" i="1"/>
  <c r="G116" i="1"/>
  <c r="C116" i="1"/>
  <c r="B117" i="1"/>
  <c r="D117" i="1" l="1"/>
  <c r="M117" i="1" s="1"/>
  <c r="L117" i="1"/>
  <c r="R117" i="1" s="1"/>
  <c r="H115" i="1"/>
  <c r="I115" i="1" s="1"/>
  <c r="G117" i="1"/>
  <c r="C117" i="1"/>
  <c r="F116" i="1"/>
  <c r="E116" i="1"/>
  <c r="J116" i="1"/>
  <c r="B118" i="1"/>
  <c r="D118" i="1" l="1"/>
  <c r="M118" i="1" s="1"/>
  <c r="L118" i="1"/>
  <c r="R118" i="1" s="1"/>
  <c r="H116" i="1"/>
  <c r="I116" i="1" s="1"/>
  <c r="G118" i="1"/>
  <c r="C118" i="1"/>
  <c r="F117" i="1"/>
  <c r="E117" i="1"/>
  <c r="J117" i="1"/>
  <c r="B119" i="1"/>
  <c r="D119" i="1" l="1"/>
  <c r="M119" i="1" s="1"/>
  <c r="L119" i="1"/>
  <c r="R119" i="1" s="1"/>
  <c r="H117" i="1"/>
  <c r="I117" i="1" s="1"/>
  <c r="F118" i="1"/>
  <c r="E118" i="1"/>
  <c r="G119" i="1"/>
  <c r="C119" i="1"/>
  <c r="J118" i="1"/>
  <c r="B120" i="1"/>
  <c r="D120" i="1" l="1"/>
  <c r="M120" i="1" s="1"/>
  <c r="L120" i="1"/>
  <c r="R120" i="1" s="1"/>
  <c r="H118" i="1"/>
  <c r="I118" i="1" s="1"/>
  <c r="G120" i="1"/>
  <c r="C120" i="1"/>
  <c r="F119" i="1"/>
  <c r="E119" i="1"/>
  <c r="J119" i="1"/>
  <c r="B121" i="1"/>
  <c r="D121" i="1" l="1"/>
  <c r="M121" i="1" s="1"/>
  <c r="L121" i="1"/>
  <c r="R121" i="1" s="1"/>
  <c r="H119" i="1"/>
  <c r="I119" i="1" s="1"/>
  <c r="G121" i="1"/>
  <c r="C121" i="1"/>
  <c r="F120" i="1"/>
  <c r="E120" i="1"/>
  <c r="J120" i="1"/>
  <c r="B122" i="1"/>
  <c r="D122" i="1" l="1"/>
  <c r="M122" i="1" s="1"/>
  <c r="L122" i="1"/>
  <c r="R122" i="1" s="1"/>
  <c r="H120" i="1"/>
  <c r="I120" i="1" s="1"/>
  <c r="G122" i="1"/>
  <c r="C122" i="1"/>
  <c r="F121" i="1"/>
  <c r="E121" i="1"/>
  <c r="J121" i="1"/>
  <c r="B123" i="1"/>
  <c r="D123" i="1" l="1"/>
  <c r="M123" i="1" s="1"/>
  <c r="L123" i="1"/>
  <c r="R123" i="1" s="1"/>
  <c r="H121" i="1"/>
  <c r="I121" i="1" s="1"/>
  <c r="G123" i="1"/>
  <c r="C123" i="1"/>
  <c r="F122" i="1"/>
  <c r="E122" i="1"/>
  <c r="J122" i="1"/>
  <c r="B124" i="1"/>
  <c r="D124" i="1" l="1"/>
  <c r="M124" i="1" s="1"/>
  <c r="L124" i="1"/>
  <c r="R124" i="1" s="1"/>
  <c r="H122" i="1"/>
  <c r="I122" i="1" s="1"/>
  <c r="G124" i="1"/>
  <c r="C124" i="1"/>
  <c r="F123" i="1"/>
  <c r="E123" i="1"/>
  <c r="J123" i="1"/>
  <c r="B125" i="1"/>
  <c r="D125" i="1" l="1"/>
  <c r="M125" i="1" s="1"/>
  <c r="L125" i="1"/>
  <c r="R125" i="1" s="1"/>
  <c r="H123" i="1"/>
  <c r="I123" i="1" s="1"/>
  <c r="G125" i="1"/>
  <c r="C125" i="1"/>
  <c r="F124" i="1"/>
  <c r="E124" i="1"/>
  <c r="J124" i="1"/>
  <c r="B126" i="1"/>
  <c r="D126" i="1" l="1"/>
  <c r="M126" i="1" s="1"/>
  <c r="L126" i="1"/>
  <c r="R126" i="1" s="1"/>
  <c r="H124" i="1"/>
  <c r="I124" i="1" s="1"/>
  <c r="G126" i="1"/>
  <c r="C126" i="1"/>
  <c r="F125" i="1"/>
  <c r="E125" i="1"/>
  <c r="J125" i="1"/>
  <c r="B127" i="1"/>
  <c r="D127" i="1" l="1"/>
  <c r="M127" i="1" s="1"/>
  <c r="L127" i="1"/>
  <c r="R127" i="1" s="1"/>
  <c r="H125" i="1"/>
  <c r="I125" i="1" s="1"/>
  <c r="F126" i="1"/>
  <c r="E126" i="1"/>
  <c r="G127" i="1"/>
  <c r="C127" i="1"/>
  <c r="J126" i="1"/>
  <c r="B128" i="1"/>
  <c r="D128" i="1" l="1"/>
  <c r="M128" i="1" s="1"/>
  <c r="L128" i="1"/>
  <c r="R128" i="1" s="1"/>
  <c r="H126" i="1"/>
  <c r="I126" i="1" s="1"/>
  <c r="G128" i="1"/>
  <c r="C128" i="1"/>
  <c r="F127" i="1"/>
  <c r="E127" i="1"/>
  <c r="J127" i="1"/>
  <c r="B129" i="1"/>
  <c r="D129" i="1" l="1"/>
  <c r="M129" i="1" s="1"/>
  <c r="L129" i="1"/>
  <c r="R129" i="1" s="1"/>
  <c r="H127" i="1"/>
  <c r="I127" i="1" s="1"/>
  <c r="F128" i="1"/>
  <c r="E128" i="1"/>
  <c r="G129" i="1"/>
  <c r="C129" i="1"/>
  <c r="J128" i="1"/>
  <c r="B130" i="1"/>
  <c r="D130" i="1" l="1"/>
  <c r="M130" i="1" s="1"/>
  <c r="L130" i="1"/>
  <c r="R130" i="1" s="1"/>
  <c r="H128" i="1"/>
  <c r="I128" i="1" s="1"/>
  <c r="G130" i="1"/>
  <c r="C130" i="1"/>
  <c r="F129" i="1"/>
  <c r="E129" i="1"/>
  <c r="J129" i="1"/>
  <c r="B131" i="1"/>
  <c r="D131" i="1" l="1"/>
  <c r="M131" i="1" s="1"/>
  <c r="L131" i="1"/>
  <c r="R131" i="1" s="1"/>
  <c r="H129" i="1"/>
  <c r="I129" i="1" s="1"/>
  <c r="G131" i="1"/>
  <c r="C131" i="1"/>
  <c r="F130" i="1"/>
  <c r="E130" i="1"/>
  <c r="J130" i="1"/>
  <c r="B132" i="1"/>
  <c r="D132" i="1" l="1"/>
  <c r="M132" i="1" s="1"/>
  <c r="L132" i="1"/>
  <c r="R132" i="1" s="1"/>
  <c r="H130" i="1"/>
  <c r="I130" i="1" s="1"/>
  <c r="G132" i="1"/>
  <c r="C132" i="1"/>
  <c r="F131" i="1"/>
  <c r="E131" i="1"/>
  <c r="J131" i="1"/>
  <c r="B133" i="1"/>
  <c r="D133" i="1" l="1"/>
  <c r="M133" i="1" s="1"/>
  <c r="L133" i="1"/>
  <c r="R133" i="1" s="1"/>
  <c r="H131" i="1"/>
  <c r="I131" i="1" s="1"/>
  <c r="F132" i="1"/>
  <c r="E132" i="1"/>
  <c r="G133" i="1"/>
  <c r="C133" i="1"/>
  <c r="J132" i="1"/>
  <c r="B134" i="1"/>
  <c r="D134" i="1" l="1"/>
  <c r="M134" i="1" s="1"/>
  <c r="L134" i="1"/>
  <c r="R134" i="1" s="1"/>
  <c r="H132" i="1"/>
  <c r="I132" i="1" s="1"/>
  <c r="F133" i="1"/>
  <c r="E133" i="1"/>
  <c r="J133" i="1"/>
  <c r="G134" i="1"/>
  <c r="C134" i="1"/>
  <c r="B135" i="1"/>
  <c r="D135" i="1" l="1"/>
  <c r="M135" i="1" s="1"/>
  <c r="L135" i="1"/>
  <c r="R135" i="1" s="1"/>
  <c r="H133" i="1"/>
  <c r="I133" i="1" s="1"/>
  <c r="F134" i="1"/>
  <c r="E134" i="1"/>
  <c r="G135" i="1"/>
  <c r="C135" i="1"/>
  <c r="J134" i="1"/>
  <c r="B136" i="1"/>
  <c r="D136" i="1" l="1"/>
  <c r="M136" i="1" s="1"/>
  <c r="L136" i="1"/>
  <c r="R136" i="1" s="1"/>
  <c r="H134" i="1"/>
  <c r="I134" i="1" s="1"/>
  <c r="F135" i="1"/>
  <c r="E135" i="1"/>
  <c r="G136" i="1"/>
  <c r="C136" i="1"/>
  <c r="J135" i="1"/>
  <c r="B137" i="1"/>
  <c r="D137" i="1" l="1"/>
  <c r="M137" i="1" s="1"/>
  <c r="L137" i="1"/>
  <c r="R137" i="1" s="1"/>
  <c r="H135" i="1"/>
  <c r="I135" i="1" s="1"/>
  <c r="G137" i="1"/>
  <c r="C137" i="1"/>
  <c r="F136" i="1"/>
  <c r="E136" i="1"/>
  <c r="J136" i="1"/>
  <c r="B138" i="1"/>
  <c r="D138" i="1" l="1"/>
  <c r="M138" i="1" s="1"/>
  <c r="L138" i="1"/>
  <c r="R138" i="1" s="1"/>
  <c r="H136" i="1"/>
  <c r="I136" i="1" s="1"/>
  <c r="G138" i="1"/>
  <c r="C138" i="1"/>
  <c r="F137" i="1"/>
  <c r="E137" i="1"/>
  <c r="J137" i="1"/>
  <c r="B139" i="1"/>
  <c r="D139" i="1" l="1"/>
  <c r="M139" i="1" s="1"/>
  <c r="L139" i="1"/>
  <c r="R139" i="1" s="1"/>
  <c r="H137" i="1"/>
  <c r="I137" i="1" s="1"/>
  <c r="G139" i="1"/>
  <c r="C139" i="1"/>
  <c r="F138" i="1"/>
  <c r="E138" i="1"/>
  <c r="J138" i="1"/>
  <c r="B140" i="1"/>
  <c r="D140" i="1" l="1"/>
  <c r="M140" i="1" s="1"/>
  <c r="L140" i="1"/>
  <c r="R140" i="1" s="1"/>
  <c r="H138" i="1"/>
  <c r="I138" i="1" s="1"/>
  <c r="G140" i="1"/>
  <c r="C140" i="1"/>
  <c r="F139" i="1"/>
  <c r="E139" i="1"/>
  <c r="J139" i="1"/>
  <c r="B141" i="1"/>
  <c r="D141" i="1" l="1"/>
  <c r="M141" i="1" s="1"/>
  <c r="L141" i="1"/>
  <c r="R141" i="1" s="1"/>
  <c r="H139" i="1"/>
  <c r="I139" i="1" s="1"/>
  <c r="G141" i="1"/>
  <c r="C141" i="1"/>
  <c r="F140" i="1"/>
  <c r="E140" i="1"/>
  <c r="J140" i="1"/>
  <c r="B142" i="1"/>
  <c r="D142" i="1" l="1"/>
  <c r="M142" i="1" s="1"/>
  <c r="L142" i="1"/>
  <c r="R142" i="1" s="1"/>
  <c r="H140" i="1"/>
  <c r="I140" i="1" s="1"/>
  <c r="F141" i="1"/>
  <c r="E141" i="1"/>
  <c r="G142" i="1"/>
  <c r="C142" i="1"/>
  <c r="J141" i="1"/>
  <c r="B143" i="1"/>
  <c r="D143" i="1" l="1"/>
  <c r="M143" i="1" s="1"/>
  <c r="L143" i="1"/>
  <c r="R143" i="1" s="1"/>
  <c r="H141" i="1"/>
  <c r="I141" i="1" s="1"/>
  <c r="F142" i="1"/>
  <c r="E142" i="1"/>
  <c r="J142" i="1"/>
  <c r="G143" i="1"/>
  <c r="C143" i="1"/>
  <c r="B144" i="1"/>
  <c r="D144" i="1" l="1"/>
  <c r="M144" i="1" s="1"/>
  <c r="L144" i="1"/>
  <c r="R144" i="1" s="1"/>
  <c r="H142" i="1"/>
  <c r="I142" i="1" s="1"/>
  <c r="G144" i="1"/>
  <c r="C144" i="1"/>
  <c r="F143" i="1"/>
  <c r="E143" i="1"/>
  <c r="J143" i="1"/>
  <c r="B145" i="1"/>
  <c r="D145" i="1" l="1"/>
  <c r="M145" i="1" s="1"/>
  <c r="L145" i="1"/>
  <c r="R145" i="1" s="1"/>
  <c r="H143" i="1"/>
  <c r="I143" i="1" s="1"/>
  <c r="G145" i="1"/>
  <c r="C145" i="1"/>
  <c r="F144" i="1"/>
  <c r="E144" i="1"/>
  <c r="J144" i="1"/>
  <c r="B146" i="1"/>
  <c r="D146" i="1" l="1"/>
  <c r="M146" i="1" s="1"/>
  <c r="L146" i="1"/>
  <c r="R146" i="1" s="1"/>
  <c r="H144" i="1"/>
  <c r="I144" i="1" s="1"/>
  <c r="F145" i="1"/>
  <c r="E145" i="1"/>
  <c r="G146" i="1"/>
  <c r="C146" i="1"/>
  <c r="J145" i="1"/>
  <c r="B147" i="1"/>
  <c r="D147" i="1" l="1"/>
  <c r="M147" i="1" s="1"/>
  <c r="L147" i="1"/>
  <c r="R147" i="1" s="1"/>
  <c r="H145" i="1"/>
  <c r="I145" i="1" s="1"/>
  <c r="F146" i="1"/>
  <c r="E146" i="1"/>
  <c r="J146" i="1"/>
  <c r="G147" i="1"/>
  <c r="C147" i="1"/>
  <c r="B148" i="1"/>
  <c r="D148" i="1" l="1"/>
  <c r="M148" i="1" s="1"/>
  <c r="L148" i="1"/>
  <c r="R148" i="1" s="1"/>
  <c r="H146" i="1"/>
  <c r="I146" i="1" s="1"/>
  <c r="G148" i="1"/>
  <c r="C148" i="1"/>
  <c r="F147" i="1"/>
  <c r="E147" i="1"/>
  <c r="J147" i="1"/>
  <c r="B149" i="1"/>
  <c r="D149" i="1" l="1"/>
  <c r="M149" i="1" s="1"/>
  <c r="L149" i="1"/>
  <c r="H147" i="1"/>
  <c r="I147" i="1" s="1"/>
  <c r="F148" i="1"/>
  <c r="E148" i="1"/>
  <c r="G149" i="1"/>
  <c r="C149" i="1"/>
  <c r="J148" i="1"/>
  <c r="B150" i="1"/>
  <c r="D150" i="1" l="1"/>
  <c r="M150" i="1" s="1"/>
  <c r="L150" i="1"/>
  <c r="H148" i="1"/>
  <c r="I148" i="1" s="1"/>
  <c r="F149" i="1"/>
  <c r="E149" i="1"/>
  <c r="J149" i="1"/>
  <c r="G150" i="1"/>
  <c r="C150" i="1"/>
  <c r="B151" i="1"/>
  <c r="D151" i="1" l="1"/>
  <c r="M151" i="1" s="1"/>
  <c r="L151" i="1"/>
  <c r="H149" i="1"/>
  <c r="I149" i="1" s="1"/>
  <c r="G151" i="1"/>
  <c r="C151" i="1"/>
  <c r="F150" i="1"/>
  <c r="E150" i="1"/>
  <c r="J150" i="1"/>
  <c r="B152" i="1"/>
  <c r="D152" i="1" l="1"/>
  <c r="M152" i="1" s="1"/>
  <c r="L152" i="1"/>
  <c r="H150" i="1"/>
  <c r="I150" i="1" s="1"/>
  <c r="G152" i="1"/>
  <c r="C152" i="1"/>
  <c r="F151" i="1"/>
  <c r="E151" i="1"/>
  <c r="J151" i="1"/>
  <c r="B153" i="1"/>
  <c r="D153" i="1" l="1"/>
  <c r="M153" i="1" s="1"/>
  <c r="L153" i="1"/>
  <c r="H151" i="1"/>
  <c r="I151" i="1" s="1"/>
  <c r="G153" i="1"/>
  <c r="C153" i="1"/>
  <c r="F152" i="1"/>
  <c r="E152" i="1"/>
  <c r="J152" i="1"/>
  <c r="B154" i="1"/>
  <c r="D154" i="1" l="1"/>
  <c r="M154" i="1" s="1"/>
  <c r="L154" i="1"/>
  <c r="H152" i="1"/>
  <c r="I152" i="1" s="1"/>
  <c r="F153" i="1"/>
  <c r="E153" i="1"/>
  <c r="G154" i="1"/>
  <c r="C154" i="1"/>
  <c r="J153" i="1"/>
  <c r="B155" i="1"/>
  <c r="D155" i="1" l="1"/>
  <c r="M155" i="1" s="1"/>
  <c r="L155" i="1"/>
  <c r="H153" i="1"/>
  <c r="I153" i="1" s="1"/>
  <c r="F154" i="1"/>
  <c r="E154" i="1"/>
  <c r="J154" i="1"/>
  <c r="G155" i="1"/>
  <c r="C155" i="1"/>
  <c r="B156" i="1"/>
  <c r="D156" i="1" l="1"/>
  <c r="M156" i="1" s="1"/>
  <c r="L156" i="1"/>
  <c r="H154" i="1"/>
  <c r="I154" i="1" s="1"/>
  <c r="G156" i="1"/>
  <c r="C156" i="1"/>
  <c r="F155" i="1"/>
  <c r="E155" i="1"/>
  <c r="J155" i="1"/>
  <c r="B157" i="1"/>
  <c r="D157" i="1" l="1"/>
  <c r="M157" i="1" s="1"/>
  <c r="L157" i="1"/>
  <c r="H155" i="1"/>
  <c r="I155" i="1" s="1"/>
  <c r="G157" i="1"/>
  <c r="C157" i="1"/>
  <c r="F156" i="1"/>
  <c r="E156" i="1"/>
  <c r="J156" i="1"/>
  <c r="B158" i="1"/>
  <c r="D158" i="1" l="1"/>
  <c r="M158" i="1" s="1"/>
  <c r="L158" i="1"/>
  <c r="H156" i="1"/>
  <c r="I156" i="1" s="1"/>
  <c r="G158" i="1"/>
  <c r="C158" i="1"/>
  <c r="F157" i="1"/>
  <c r="E157" i="1"/>
  <c r="J157" i="1"/>
  <c r="B159" i="1"/>
  <c r="D159" i="1" l="1"/>
  <c r="M159" i="1" s="1"/>
  <c r="L159" i="1"/>
  <c r="H157" i="1"/>
  <c r="I157" i="1" s="1"/>
  <c r="G159" i="1"/>
  <c r="C159" i="1"/>
  <c r="F158" i="1"/>
  <c r="E158" i="1"/>
  <c r="J158" i="1"/>
  <c r="B160" i="1"/>
  <c r="D160" i="1" l="1"/>
  <c r="M160" i="1" s="1"/>
  <c r="L160" i="1"/>
  <c r="H158" i="1"/>
  <c r="I158" i="1" s="1"/>
  <c r="F159" i="1"/>
  <c r="E159" i="1"/>
  <c r="G160" i="1"/>
  <c r="C160" i="1"/>
  <c r="J159" i="1"/>
  <c r="B161" i="1"/>
  <c r="D161" i="1" l="1"/>
  <c r="M161" i="1" s="1"/>
  <c r="L161" i="1"/>
  <c r="H159" i="1"/>
  <c r="I159" i="1" s="1"/>
  <c r="G161" i="1"/>
  <c r="C161" i="1"/>
  <c r="F160" i="1"/>
  <c r="E160" i="1"/>
  <c r="J160" i="1"/>
  <c r="B162" i="1"/>
  <c r="D162" i="1" l="1"/>
  <c r="M162" i="1" s="1"/>
  <c r="L162" i="1"/>
  <c r="H160" i="1"/>
  <c r="I160" i="1" s="1"/>
  <c r="G162" i="1"/>
  <c r="C162" i="1"/>
  <c r="F161" i="1"/>
  <c r="E161" i="1"/>
  <c r="J161" i="1"/>
  <c r="B163" i="1"/>
  <c r="D163" i="1" l="1"/>
  <c r="M163" i="1" s="1"/>
  <c r="L163" i="1"/>
  <c r="H161" i="1"/>
  <c r="I161" i="1" s="1"/>
  <c r="G163" i="1"/>
  <c r="C163" i="1"/>
  <c r="F162" i="1"/>
  <c r="E162" i="1"/>
  <c r="J162" i="1"/>
  <c r="B164" i="1"/>
  <c r="D164" i="1" l="1"/>
  <c r="M164" i="1" s="1"/>
  <c r="L164" i="1"/>
  <c r="H162" i="1"/>
  <c r="I162" i="1" s="1"/>
  <c r="F163" i="1"/>
  <c r="E163" i="1"/>
  <c r="G164" i="1"/>
  <c r="C164" i="1"/>
  <c r="J163" i="1"/>
  <c r="B165" i="1"/>
  <c r="H163" i="1" l="1"/>
  <c r="I163" i="1" s="1"/>
  <c r="D165" i="1"/>
  <c r="M165" i="1" s="1"/>
  <c r="L165" i="1"/>
  <c r="F164" i="1"/>
  <c r="E164" i="1"/>
  <c r="G165" i="1"/>
  <c r="C165" i="1"/>
  <c r="J164" i="1"/>
  <c r="B166" i="1"/>
  <c r="D166" i="1" l="1"/>
  <c r="M166" i="1" s="1"/>
  <c r="L166" i="1"/>
  <c r="H164" i="1"/>
  <c r="I164" i="1" s="1"/>
  <c r="F165" i="1"/>
  <c r="E165" i="1"/>
  <c r="G166" i="1"/>
  <c r="C166" i="1"/>
  <c r="J165" i="1"/>
  <c r="B167" i="1"/>
  <c r="D167" i="1" l="1"/>
  <c r="M167" i="1" s="1"/>
  <c r="L167" i="1"/>
  <c r="H165" i="1"/>
  <c r="I165" i="1" s="1"/>
  <c r="G167" i="1"/>
  <c r="C167" i="1"/>
  <c r="F166" i="1"/>
  <c r="E166" i="1"/>
  <c r="J166" i="1"/>
  <c r="B168" i="1"/>
  <c r="D168" i="1" l="1"/>
  <c r="M168" i="1" s="1"/>
  <c r="L168" i="1"/>
  <c r="H166" i="1"/>
  <c r="I166" i="1" s="1"/>
  <c r="G168" i="1"/>
  <c r="C168" i="1"/>
  <c r="F167" i="1"/>
  <c r="E167" i="1"/>
  <c r="J167" i="1"/>
  <c r="B169" i="1"/>
  <c r="D169" i="1" l="1"/>
  <c r="M169" i="1" s="1"/>
  <c r="L169" i="1"/>
  <c r="H167" i="1"/>
  <c r="I167" i="1" s="1"/>
  <c r="G169" i="1"/>
  <c r="C169" i="1"/>
  <c r="F168" i="1"/>
  <c r="E168" i="1"/>
  <c r="J168" i="1"/>
  <c r="B170" i="1"/>
  <c r="D170" i="1" l="1"/>
  <c r="M170" i="1" s="1"/>
  <c r="L170" i="1"/>
  <c r="H168" i="1"/>
  <c r="I168" i="1" s="1"/>
  <c r="F169" i="1"/>
  <c r="E169" i="1"/>
  <c r="G170" i="1"/>
  <c r="C170" i="1"/>
  <c r="J169" i="1"/>
  <c r="B171" i="1"/>
  <c r="D171" i="1" l="1"/>
  <c r="M171" i="1" s="1"/>
  <c r="L171" i="1"/>
  <c r="H169" i="1"/>
  <c r="I169" i="1" s="1"/>
  <c r="F170" i="1"/>
  <c r="E170" i="1"/>
  <c r="J170" i="1"/>
  <c r="G171" i="1"/>
  <c r="C171" i="1"/>
  <c r="B172" i="1"/>
  <c r="D172" i="1" l="1"/>
  <c r="M172" i="1" s="1"/>
  <c r="L172" i="1"/>
  <c r="H170" i="1"/>
  <c r="I170" i="1" s="1"/>
  <c r="G172" i="1"/>
  <c r="C172" i="1"/>
  <c r="F171" i="1"/>
  <c r="E171" i="1"/>
  <c r="J171" i="1"/>
  <c r="B173" i="1"/>
  <c r="D173" i="1" l="1"/>
  <c r="M173" i="1" s="1"/>
  <c r="L173" i="1"/>
  <c r="H171" i="1"/>
  <c r="I171" i="1" s="1"/>
  <c r="G173" i="1"/>
  <c r="C173" i="1"/>
  <c r="F172" i="1"/>
  <c r="E172" i="1"/>
  <c r="J172" i="1"/>
  <c r="B174" i="1"/>
  <c r="D174" i="1" l="1"/>
  <c r="M174" i="1" s="1"/>
  <c r="L174" i="1"/>
  <c r="H172" i="1"/>
  <c r="I172" i="1" s="1"/>
  <c r="G174" i="1"/>
  <c r="C174" i="1"/>
  <c r="F173" i="1"/>
  <c r="E173" i="1"/>
  <c r="J173" i="1"/>
  <c r="B175" i="1"/>
  <c r="D175" i="1" l="1"/>
  <c r="M175" i="1" s="1"/>
  <c r="L175" i="1"/>
  <c r="H173" i="1"/>
  <c r="I173" i="1" s="1"/>
  <c r="G175" i="1"/>
  <c r="C175" i="1"/>
  <c r="F174" i="1"/>
  <c r="E174" i="1"/>
  <c r="J174" i="1"/>
  <c r="B176" i="1"/>
  <c r="D176" i="1" l="1"/>
  <c r="M176" i="1" s="1"/>
  <c r="L176" i="1"/>
  <c r="H174" i="1"/>
  <c r="I174" i="1" s="1"/>
  <c r="G176" i="1"/>
  <c r="C176" i="1"/>
  <c r="F175" i="1"/>
  <c r="E175" i="1"/>
  <c r="J175" i="1"/>
  <c r="B177" i="1"/>
  <c r="D177" i="1" l="1"/>
  <c r="M177" i="1" s="1"/>
  <c r="L177" i="1"/>
  <c r="H175" i="1"/>
  <c r="I175" i="1" s="1"/>
  <c r="G177" i="1"/>
  <c r="C177" i="1"/>
  <c r="F176" i="1"/>
  <c r="E176" i="1"/>
  <c r="J176" i="1"/>
  <c r="B178" i="1"/>
  <c r="D178" i="1" l="1"/>
  <c r="M178" i="1" s="1"/>
  <c r="L178" i="1"/>
  <c r="H176" i="1"/>
  <c r="I176" i="1" s="1"/>
  <c r="G178" i="1"/>
  <c r="C178" i="1"/>
  <c r="F177" i="1"/>
  <c r="E177" i="1"/>
  <c r="J177" i="1"/>
  <c r="B179" i="1"/>
  <c r="D179" i="1" l="1"/>
  <c r="M179" i="1" s="1"/>
  <c r="L179" i="1"/>
  <c r="H177" i="1"/>
  <c r="I177" i="1" s="1"/>
  <c r="G179" i="1"/>
  <c r="C179" i="1"/>
  <c r="F178" i="1"/>
  <c r="E178" i="1"/>
  <c r="J178" i="1"/>
  <c r="B180" i="1"/>
  <c r="D180" i="1" l="1"/>
  <c r="M180" i="1" s="1"/>
  <c r="L180" i="1"/>
  <c r="H178" i="1"/>
  <c r="I178" i="1" s="1"/>
  <c r="G180" i="1"/>
  <c r="C180" i="1"/>
  <c r="F179" i="1"/>
  <c r="E179" i="1"/>
  <c r="J179" i="1"/>
  <c r="B181" i="1"/>
  <c r="D181" i="1" l="1"/>
  <c r="M181" i="1" s="1"/>
  <c r="L181" i="1"/>
  <c r="H179" i="1"/>
  <c r="I179" i="1" s="1"/>
  <c r="G181" i="1"/>
  <c r="C181" i="1"/>
  <c r="F180" i="1"/>
  <c r="E180" i="1"/>
  <c r="J180" i="1"/>
  <c r="B182" i="1"/>
  <c r="D182" i="1" l="1"/>
  <c r="M182" i="1" s="1"/>
  <c r="L182" i="1"/>
  <c r="H180" i="1"/>
  <c r="I180" i="1" s="1"/>
  <c r="F181" i="1"/>
  <c r="E181" i="1"/>
  <c r="G182" i="1"/>
  <c r="C182" i="1"/>
  <c r="J181" i="1"/>
  <c r="B183" i="1"/>
  <c r="D183" i="1" l="1"/>
  <c r="M183" i="1" s="1"/>
  <c r="L183" i="1"/>
  <c r="H181" i="1"/>
  <c r="I181" i="1" s="1"/>
  <c r="F182" i="1"/>
  <c r="E182" i="1"/>
  <c r="J182" i="1"/>
  <c r="G183" i="1"/>
  <c r="C183" i="1"/>
  <c r="B184" i="1"/>
  <c r="D184" i="1" l="1"/>
  <c r="M184" i="1" s="1"/>
  <c r="L184" i="1"/>
  <c r="H182" i="1"/>
  <c r="I182" i="1" s="1"/>
  <c r="G184" i="1"/>
  <c r="C184" i="1"/>
  <c r="F183" i="1"/>
  <c r="E183" i="1"/>
  <c r="J183" i="1"/>
  <c r="B185" i="1"/>
  <c r="D185" i="1" l="1"/>
  <c r="M185" i="1" s="1"/>
  <c r="L185" i="1"/>
  <c r="H183" i="1"/>
  <c r="I183" i="1" s="1"/>
  <c r="G185" i="1"/>
  <c r="C185" i="1"/>
  <c r="F184" i="1"/>
  <c r="E184" i="1"/>
  <c r="J184" i="1"/>
  <c r="B186" i="1"/>
  <c r="D186" i="1" l="1"/>
  <c r="M186" i="1" s="1"/>
  <c r="L186" i="1"/>
  <c r="H184" i="1"/>
  <c r="I184" i="1" s="1"/>
  <c r="G186" i="1"/>
  <c r="C186" i="1"/>
  <c r="F185" i="1"/>
  <c r="E185" i="1"/>
  <c r="J185" i="1"/>
  <c r="B187" i="1"/>
  <c r="D187" i="1" l="1"/>
  <c r="M187" i="1" s="1"/>
  <c r="L187" i="1"/>
  <c r="H185" i="1"/>
  <c r="I185" i="1" s="1"/>
  <c r="G187" i="1"/>
  <c r="C187" i="1"/>
  <c r="F186" i="1"/>
  <c r="E186" i="1"/>
  <c r="J186" i="1"/>
  <c r="B188" i="1"/>
  <c r="D188" i="1" l="1"/>
  <c r="M188" i="1" s="1"/>
  <c r="L188" i="1"/>
  <c r="H186" i="1"/>
  <c r="I186" i="1" s="1"/>
  <c r="F187" i="1"/>
  <c r="E187" i="1"/>
  <c r="G188" i="1"/>
  <c r="C188" i="1"/>
  <c r="J187" i="1"/>
  <c r="B189" i="1"/>
  <c r="H187" i="1" l="1"/>
  <c r="I187" i="1" s="1"/>
  <c r="D189" i="1"/>
  <c r="M189" i="1" s="1"/>
  <c r="L189" i="1"/>
  <c r="F188" i="1"/>
  <c r="E188" i="1"/>
  <c r="J188" i="1"/>
  <c r="G189" i="1"/>
  <c r="C189" i="1"/>
  <c r="B190" i="1"/>
  <c r="H188" i="1" l="1"/>
  <c r="I188" i="1" s="1"/>
  <c r="D190" i="1"/>
  <c r="M190" i="1" s="1"/>
  <c r="L190" i="1"/>
  <c r="G190" i="1"/>
  <c r="C190" i="1"/>
  <c r="F189" i="1"/>
  <c r="E189" i="1"/>
  <c r="J189" i="1"/>
  <c r="B191" i="1"/>
  <c r="D191" i="1" l="1"/>
  <c r="M191" i="1" s="1"/>
  <c r="L191" i="1"/>
  <c r="H189" i="1"/>
  <c r="I189" i="1" s="1"/>
  <c r="G191" i="1"/>
  <c r="C191" i="1"/>
  <c r="F190" i="1"/>
  <c r="E190" i="1"/>
  <c r="J190" i="1"/>
  <c r="B192" i="1"/>
  <c r="D192" i="1" l="1"/>
  <c r="M192" i="1" s="1"/>
  <c r="L192" i="1"/>
  <c r="H190" i="1"/>
  <c r="I190" i="1" s="1"/>
  <c r="F191" i="1"/>
  <c r="E191" i="1"/>
  <c r="G192" i="1"/>
  <c r="C192" i="1"/>
  <c r="J191" i="1"/>
  <c r="B193" i="1"/>
  <c r="D193" i="1" l="1"/>
  <c r="M193" i="1" s="1"/>
  <c r="L193" i="1"/>
  <c r="H191" i="1"/>
  <c r="I191" i="1" s="1"/>
  <c r="F192" i="1"/>
  <c r="E192" i="1"/>
  <c r="J192" i="1"/>
  <c r="G193" i="1"/>
  <c r="C193" i="1"/>
  <c r="B194" i="1"/>
  <c r="D194" i="1" l="1"/>
  <c r="M194" i="1" s="1"/>
  <c r="L194" i="1"/>
  <c r="H192" i="1"/>
  <c r="I192" i="1" s="1"/>
  <c r="G194" i="1"/>
  <c r="C194" i="1"/>
  <c r="F193" i="1"/>
  <c r="E193" i="1"/>
  <c r="J193" i="1"/>
  <c r="B195" i="1"/>
  <c r="D195" i="1" l="1"/>
  <c r="M195" i="1" s="1"/>
  <c r="L195" i="1"/>
  <c r="H193" i="1"/>
  <c r="I193" i="1" s="1"/>
  <c r="F194" i="1"/>
  <c r="E194" i="1"/>
  <c r="G195" i="1"/>
  <c r="C195" i="1"/>
  <c r="J194" i="1"/>
  <c r="B196" i="1"/>
  <c r="D196" i="1" l="1"/>
  <c r="M196" i="1" s="1"/>
  <c r="L196" i="1"/>
  <c r="H194" i="1"/>
  <c r="I194" i="1" s="1"/>
  <c r="F195" i="1"/>
  <c r="E195" i="1"/>
  <c r="J195" i="1"/>
  <c r="G196" i="1"/>
  <c r="C196" i="1"/>
  <c r="B197" i="1"/>
  <c r="D197" i="1" l="1"/>
  <c r="M197" i="1" s="1"/>
  <c r="L197" i="1"/>
  <c r="H195" i="1"/>
  <c r="I195" i="1" s="1"/>
  <c r="F196" i="1"/>
  <c r="E196" i="1"/>
  <c r="G197" i="1"/>
  <c r="C197" i="1"/>
  <c r="J196" i="1"/>
  <c r="B198" i="1"/>
  <c r="D198" i="1" l="1"/>
  <c r="M198" i="1" s="1"/>
  <c r="L198" i="1"/>
  <c r="H196" i="1"/>
  <c r="I196" i="1" s="1"/>
  <c r="J197" i="1"/>
  <c r="G198" i="1"/>
  <c r="C198" i="1"/>
  <c r="F197" i="1"/>
  <c r="E197" i="1"/>
  <c r="B199" i="1"/>
  <c r="D199" i="1" l="1"/>
  <c r="M199" i="1" s="1"/>
  <c r="L199" i="1"/>
  <c r="H197" i="1"/>
  <c r="I197" i="1" s="1"/>
  <c r="G199" i="1"/>
  <c r="C199" i="1"/>
  <c r="F198" i="1"/>
  <c r="E198" i="1"/>
  <c r="J198" i="1"/>
  <c r="B200" i="1"/>
  <c r="D200" i="1" l="1"/>
  <c r="M200" i="1" s="1"/>
  <c r="L200" i="1"/>
  <c r="H198" i="1"/>
  <c r="I198" i="1" s="1"/>
  <c r="F199" i="1"/>
  <c r="E199" i="1"/>
  <c r="G200" i="1"/>
  <c r="C200" i="1"/>
  <c r="J199" i="1"/>
  <c r="B201" i="1"/>
  <c r="H199" i="1" l="1"/>
  <c r="I199" i="1" s="1"/>
  <c r="D201" i="1"/>
  <c r="M201" i="1" s="1"/>
  <c r="L201" i="1"/>
  <c r="F200" i="1"/>
  <c r="E200" i="1"/>
  <c r="J200" i="1"/>
  <c r="G201" i="1"/>
  <c r="C201" i="1"/>
  <c r="B202" i="1"/>
  <c r="D202" i="1" l="1"/>
  <c r="M202" i="1" s="1"/>
  <c r="L202" i="1"/>
  <c r="H200" i="1"/>
  <c r="I200" i="1" s="1"/>
  <c r="F201" i="1"/>
  <c r="E201" i="1"/>
  <c r="G202" i="1"/>
  <c r="C202" i="1"/>
  <c r="J201" i="1"/>
  <c r="B203" i="1"/>
  <c r="H201" i="1" l="1"/>
  <c r="I201" i="1" s="1"/>
  <c r="D203" i="1"/>
  <c r="M203" i="1" s="1"/>
  <c r="L203" i="1"/>
  <c r="F202" i="1"/>
  <c r="E202" i="1"/>
  <c r="G203" i="1"/>
  <c r="C203" i="1"/>
  <c r="J202" i="1"/>
  <c r="B204" i="1"/>
  <c r="D204" i="1" l="1"/>
  <c r="M204" i="1" s="1"/>
  <c r="L204" i="1"/>
  <c r="H202" i="1"/>
  <c r="I202" i="1" s="1"/>
  <c r="G204" i="1"/>
  <c r="C204" i="1"/>
  <c r="J203" i="1"/>
  <c r="F203" i="1"/>
  <c r="E203" i="1"/>
  <c r="B205" i="1"/>
  <c r="D205" i="1" l="1"/>
  <c r="M205" i="1" s="1"/>
  <c r="L205" i="1"/>
  <c r="H203" i="1"/>
  <c r="I203" i="1" s="1"/>
  <c r="F204" i="1"/>
  <c r="E204" i="1"/>
  <c r="G205" i="1"/>
  <c r="C205" i="1"/>
  <c r="J204" i="1"/>
  <c r="B206" i="1"/>
  <c r="D206" i="1" l="1"/>
  <c r="M206" i="1" s="1"/>
  <c r="L206" i="1"/>
  <c r="H204" i="1"/>
  <c r="I204" i="1" s="1"/>
  <c r="F205" i="1"/>
  <c r="E205" i="1"/>
  <c r="G206" i="1"/>
  <c r="C206" i="1"/>
  <c r="J205" i="1"/>
  <c r="B207" i="1"/>
  <c r="D207" i="1" l="1"/>
  <c r="M207" i="1" s="1"/>
  <c r="L207" i="1"/>
  <c r="H205" i="1"/>
  <c r="I205" i="1" s="1"/>
  <c r="G207" i="1"/>
  <c r="C207" i="1"/>
  <c r="F206" i="1"/>
  <c r="E206" i="1"/>
  <c r="J206" i="1"/>
  <c r="B208" i="1"/>
  <c r="D208" i="1" l="1"/>
  <c r="M208" i="1" s="1"/>
  <c r="L208" i="1"/>
  <c r="H206" i="1"/>
  <c r="I206" i="1" s="1"/>
  <c r="F207" i="1"/>
  <c r="E207" i="1"/>
  <c r="G208" i="1"/>
  <c r="C208" i="1"/>
  <c r="J207" i="1"/>
  <c r="B209" i="1"/>
  <c r="D209" i="1" l="1"/>
  <c r="M209" i="1" s="1"/>
  <c r="L209" i="1"/>
  <c r="H207" i="1"/>
  <c r="I207" i="1" s="1"/>
  <c r="G209" i="1"/>
  <c r="C209" i="1"/>
  <c r="J208" i="1"/>
  <c r="F208" i="1"/>
  <c r="E208" i="1"/>
  <c r="B210" i="1"/>
  <c r="D210" i="1" l="1"/>
  <c r="M210" i="1" s="1"/>
  <c r="L210" i="1"/>
  <c r="H208" i="1"/>
  <c r="I208" i="1" s="1"/>
  <c r="G210" i="1"/>
  <c r="C210" i="1"/>
  <c r="F209" i="1"/>
  <c r="E209" i="1"/>
  <c r="J209" i="1"/>
  <c r="B211" i="1"/>
  <c r="D211" i="1" l="1"/>
  <c r="M211" i="1" s="1"/>
  <c r="L211" i="1"/>
  <c r="H209" i="1"/>
  <c r="I209" i="1" s="1"/>
  <c r="G211" i="1"/>
  <c r="C211" i="1"/>
  <c r="F210" i="1"/>
  <c r="E210" i="1"/>
  <c r="J210" i="1"/>
  <c r="B212" i="1"/>
  <c r="D212" i="1" l="1"/>
  <c r="M212" i="1" s="1"/>
  <c r="L212" i="1"/>
  <c r="H210" i="1"/>
  <c r="I210" i="1" s="1"/>
  <c r="F211" i="1"/>
  <c r="E211" i="1"/>
  <c r="G212" i="1"/>
  <c r="C212" i="1"/>
  <c r="J211" i="1"/>
  <c r="B213" i="1"/>
  <c r="H211" i="1" l="1"/>
  <c r="I211" i="1" s="1"/>
  <c r="D213" i="1"/>
  <c r="M213" i="1" s="1"/>
  <c r="L213" i="1"/>
  <c r="G213" i="1"/>
  <c r="C213" i="1"/>
  <c r="J212" i="1"/>
  <c r="F212" i="1"/>
  <c r="E212" i="1"/>
  <c r="B214" i="1"/>
  <c r="D214" i="1" l="1"/>
  <c r="M214" i="1" s="1"/>
  <c r="L214" i="1"/>
  <c r="H212" i="1"/>
  <c r="I212" i="1" s="1"/>
  <c r="G214" i="1"/>
  <c r="C214" i="1"/>
  <c r="F213" i="1"/>
  <c r="E213" i="1"/>
  <c r="J213" i="1"/>
  <c r="B215" i="1"/>
  <c r="D215" i="1" l="1"/>
  <c r="M215" i="1" s="1"/>
  <c r="L215" i="1"/>
  <c r="H213" i="1"/>
  <c r="I213" i="1" s="1"/>
  <c r="G215" i="1"/>
  <c r="C215" i="1"/>
  <c r="F214" i="1"/>
  <c r="E214" i="1"/>
  <c r="J214" i="1"/>
  <c r="B216" i="1"/>
  <c r="D216" i="1" l="1"/>
  <c r="M216" i="1" s="1"/>
  <c r="L216" i="1"/>
  <c r="H214" i="1"/>
  <c r="I214" i="1" s="1"/>
  <c r="F215" i="1"/>
  <c r="E215" i="1"/>
  <c r="G216" i="1"/>
  <c r="C216" i="1"/>
  <c r="J215" i="1"/>
  <c r="B217" i="1"/>
  <c r="H215" i="1" l="1"/>
  <c r="I215" i="1" s="1"/>
  <c r="D217" i="1"/>
  <c r="M217" i="1" s="1"/>
  <c r="L217" i="1"/>
  <c r="F216" i="1"/>
  <c r="E216" i="1"/>
  <c r="J216" i="1"/>
  <c r="G217" i="1"/>
  <c r="C217" i="1"/>
  <c r="B218" i="1"/>
  <c r="D218" i="1" l="1"/>
  <c r="M218" i="1" s="1"/>
  <c r="L218" i="1"/>
  <c r="H216" i="1"/>
  <c r="I216" i="1" s="1"/>
  <c r="G218" i="1"/>
  <c r="C218" i="1"/>
  <c r="F217" i="1"/>
  <c r="E217" i="1"/>
  <c r="J217" i="1"/>
  <c r="B219" i="1"/>
  <c r="D219" i="1" l="1"/>
  <c r="M219" i="1" s="1"/>
  <c r="L219" i="1"/>
  <c r="H217" i="1"/>
  <c r="I217" i="1" s="1"/>
  <c r="F218" i="1"/>
  <c r="E218" i="1"/>
  <c r="G219" i="1"/>
  <c r="C219" i="1"/>
  <c r="J218" i="1"/>
  <c r="B220" i="1"/>
  <c r="D220" i="1" l="1"/>
  <c r="M220" i="1" s="1"/>
  <c r="L220" i="1"/>
  <c r="H218" i="1"/>
  <c r="I218" i="1" s="1"/>
  <c r="F219" i="1"/>
  <c r="E219" i="1"/>
  <c r="J219" i="1"/>
  <c r="G220" i="1"/>
  <c r="C220" i="1"/>
  <c r="B221" i="1"/>
  <c r="D221" i="1" l="1"/>
  <c r="M221" i="1" s="1"/>
  <c r="L221" i="1"/>
  <c r="H219" i="1"/>
  <c r="I219" i="1" s="1"/>
  <c r="F220" i="1"/>
  <c r="E220" i="1"/>
  <c r="G221" i="1"/>
  <c r="C221" i="1"/>
  <c r="J220" i="1"/>
  <c r="B222" i="1"/>
  <c r="H220" i="1" l="1"/>
  <c r="I220" i="1" s="1"/>
  <c r="D222" i="1"/>
  <c r="M222" i="1" s="1"/>
  <c r="L222" i="1"/>
  <c r="F221" i="1"/>
  <c r="E221" i="1"/>
  <c r="G222" i="1"/>
  <c r="C222" i="1"/>
  <c r="J221" i="1"/>
  <c r="B223" i="1"/>
  <c r="D223" i="1" l="1"/>
  <c r="M223" i="1" s="1"/>
  <c r="L223" i="1"/>
  <c r="H221" i="1"/>
  <c r="I221" i="1" s="1"/>
  <c r="G223" i="1"/>
  <c r="C223" i="1"/>
  <c r="F222" i="1"/>
  <c r="E222" i="1"/>
  <c r="J222" i="1"/>
  <c r="B224" i="1"/>
  <c r="D224" i="1" l="1"/>
  <c r="M224" i="1" s="1"/>
  <c r="L224" i="1"/>
  <c r="H222" i="1"/>
  <c r="I222" i="1" s="1"/>
  <c r="G224" i="1"/>
  <c r="C224" i="1"/>
  <c r="F223" i="1"/>
  <c r="E223" i="1"/>
  <c r="J223" i="1"/>
  <c r="B225" i="1"/>
  <c r="D225" i="1" l="1"/>
  <c r="M225" i="1" s="1"/>
  <c r="L225" i="1"/>
  <c r="H223" i="1"/>
  <c r="I223" i="1" s="1"/>
  <c r="F224" i="1"/>
  <c r="E224" i="1"/>
  <c r="G225" i="1"/>
  <c r="C225" i="1"/>
  <c r="J224" i="1"/>
  <c r="B226" i="1"/>
  <c r="D226" i="1" l="1"/>
  <c r="M226" i="1" s="1"/>
  <c r="L226" i="1"/>
  <c r="H224" i="1"/>
  <c r="I224" i="1" s="1"/>
  <c r="G226" i="1"/>
  <c r="C226" i="1"/>
  <c r="F225" i="1"/>
  <c r="E225" i="1"/>
  <c r="J225" i="1"/>
  <c r="B227" i="1"/>
  <c r="D227" i="1" l="1"/>
  <c r="M227" i="1" s="1"/>
  <c r="L227" i="1"/>
  <c r="H225" i="1"/>
  <c r="I225" i="1" s="1"/>
  <c r="F226" i="1"/>
  <c r="E226" i="1"/>
  <c r="G227" i="1"/>
  <c r="C227" i="1"/>
  <c r="J226" i="1"/>
  <c r="B228" i="1"/>
  <c r="D228" i="1" l="1"/>
  <c r="M228" i="1" s="1"/>
  <c r="L228" i="1"/>
  <c r="H226" i="1"/>
  <c r="I226" i="1" s="1"/>
  <c r="J227" i="1"/>
  <c r="G228" i="1"/>
  <c r="C228" i="1"/>
  <c r="F227" i="1"/>
  <c r="E227" i="1"/>
  <c r="B229" i="1"/>
  <c r="D229" i="1" l="1"/>
  <c r="M229" i="1" s="1"/>
  <c r="L229" i="1"/>
  <c r="H227" i="1"/>
  <c r="I227" i="1" s="1"/>
  <c r="F228" i="1"/>
  <c r="E228" i="1"/>
  <c r="J228" i="1"/>
  <c r="G229" i="1"/>
  <c r="C229" i="1"/>
  <c r="B230" i="1"/>
  <c r="D230" i="1" l="1"/>
  <c r="M230" i="1" s="1"/>
  <c r="L230" i="1"/>
  <c r="H228" i="1"/>
  <c r="I228" i="1" s="1"/>
  <c r="G230" i="1"/>
  <c r="C230" i="1"/>
  <c r="F229" i="1"/>
  <c r="E229" i="1"/>
  <c r="J229" i="1"/>
  <c r="B231" i="1"/>
  <c r="D231" i="1" l="1"/>
  <c r="M231" i="1" s="1"/>
  <c r="L231" i="1"/>
  <c r="H229" i="1"/>
  <c r="I229" i="1" s="1"/>
  <c r="G231" i="1"/>
  <c r="C231" i="1"/>
  <c r="F230" i="1"/>
  <c r="E230" i="1"/>
  <c r="J230" i="1"/>
  <c r="B232" i="1"/>
  <c r="D232" i="1" l="1"/>
  <c r="M232" i="1" s="1"/>
  <c r="L232" i="1"/>
  <c r="H230" i="1"/>
  <c r="I230" i="1" s="1"/>
  <c r="G232" i="1"/>
  <c r="C232" i="1"/>
  <c r="F231" i="1"/>
  <c r="E231" i="1"/>
  <c r="J231" i="1"/>
  <c r="B233" i="1"/>
  <c r="D233" i="1" l="1"/>
  <c r="M233" i="1" s="1"/>
  <c r="L233" i="1"/>
  <c r="H231" i="1"/>
  <c r="I231" i="1" s="1"/>
  <c r="G233" i="1"/>
  <c r="C233" i="1"/>
  <c r="F232" i="1"/>
  <c r="E232" i="1"/>
  <c r="J232" i="1"/>
  <c r="B234" i="1"/>
  <c r="D234" i="1" l="1"/>
  <c r="M234" i="1" s="1"/>
  <c r="L234" i="1"/>
  <c r="H232" i="1"/>
  <c r="I232" i="1" s="1"/>
  <c r="G234" i="1"/>
  <c r="C234" i="1"/>
  <c r="F233" i="1"/>
  <c r="E233" i="1"/>
  <c r="J233" i="1"/>
  <c r="B235" i="1"/>
  <c r="D235" i="1" l="1"/>
  <c r="M235" i="1" s="1"/>
  <c r="L235" i="1"/>
  <c r="H233" i="1"/>
  <c r="I233" i="1" s="1"/>
  <c r="G235" i="1"/>
  <c r="C235" i="1"/>
  <c r="F234" i="1"/>
  <c r="E234" i="1"/>
  <c r="J234" i="1"/>
  <c r="B236" i="1"/>
  <c r="D236" i="1" l="1"/>
  <c r="M236" i="1" s="1"/>
  <c r="L236" i="1"/>
  <c r="H234" i="1"/>
  <c r="I234" i="1" s="1"/>
  <c r="G236" i="1"/>
  <c r="C236" i="1"/>
  <c r="F235" i="1"/>
  <c r="E235" i="1"/>
  <c r="J235" i="1"/>
  <c r="B237" i="1"/>
  <c r="D237" i="1" l="1"/>
  <c r="M237" i="1" s="1"/>
  <c r="L237" i="1"/>
  <c r="H235" i="1"/>
  <c r="I235" i="1" s="1"/>
  <c r="F236" i="1"/>
  <c r="E236" i="1"/>
  <c r="G237" i="1"/>
  <c r="C237" i="1"/>
  <c r="J236" i="1"/>
  <c r="B238" i="1"/>
  <c r="D238" i="1" l="1"/>
  <c r="M238" i="1" s="1"/>
  <c r="L238" i="1"/>
  <c r="H236" i="1"/>
  <c r="I236" i="1" s="1"/>
  <c r="F237" i="1"/>
  <c r="E237" i="1"/>
  <c r="J237" i="1"/>
  <c r="G238" i="1"/>
  <c r="C238" i="1"/>
  <c r="B239" i="1"/>
  <c r="D239" i="1" l="1"/>
  <c r="M239" i="1" s="1"/>
  <c r="L239" i="1"/>
  <c r="H237" i="1"/>
  <c r="I237" i="1" s="1"/>
  <c r="J238" i="1"/>
  <c r="G239" i="1"/>
  <c r="C239" i="1"/>
  <c r="F238" i="1"/>
  <c r="E238" i="1"/>
  <c r="B240" i="1"/>
  <c r="D240" i="1" l="1"/>
  <c r="M240" i="1" s="1"/>
  <c r="L240" i="1"/>
  <c r="H238" i="1"/>
  <c r="I238" i="1" s="1"/>
  <c r="F239" i="1"/>
  <c r="E239" i="1"/>
  <c r="J239" i="1"/>
  <c r="G240" i="1"/>
  <c r="C240" i="1"/>
  <c r="B241" i="1"/>
  <c r="H239" i="1" l="1"/>
  <c r="I239" i="1" s="1"/>
  <c r="D241" i="1"/>
  <c r="M241" i="1" s="1"/>
  <c r="L241" i="1"/>
  <c r="F240" i="1"/>
  <c r="E240" i="1"/>
  <c r="G241" i="1"/>
  <c r="C241" i="1"/>
  <c r="J240" i="1"/>
  <c r="B242" i="1"/>
  <c r="H240" i="1" l="1"/>
  <c r="I240" i="1" s="1"/>
  <c r="D242" i="1"/>
  <c r="M242" i="1" s="1"/>
  <c r="L242" i="1"/>
  <c r="F241" i="1"/>
  <c r="E241" i="1"/>
  <c r="J241" i="1"/>
  <c r="G242" i="1"/>
  <c r="C242" i="1"/>
  <c r="B243" i="1"/>
  <c r="D243" i="1" l="1"/>
  <c r="M243" i="1" s="1"/>
  <c r="L243" i="1"/>
  <c r="H241" i="1"/>
  <c r="I241" i="1" s="1"/>
  <c r="F242" i="1"/>
  <c r="E242" i="1"/>
  <c r="G243" i="1"/>
  <c r="C243" i="1"/>
  <c r="J242" i="1"/>
  <c r="B244" i="1"/>
  <c r="D244" i="1" l="1"/>
  <c r="M244" i="1" s="1"/>
  <c r="L244" i="1"/>
  <c r="H242" i="1"/>
  <c r="I242" i="1" s="1"/>
  <c r="G244" i="1"/>
  <c r="C244" i="1"/>
  <c r="F243" i="1"/>
  <c r="E243" i="1"/>
  <c r="J243" i="1"/>
  <c r="B245" i="1"/>
  <c r="D245" i="1" l="1"/>
  <c r="M245" i="1" s="1"/>
  <c r="L245" i="1"/>
  <c r="H243" i="1"/>
  <c r="I243" i="1" s="1"/>
  <c r="G245" i="1"/>
  <c r="C245" i="1"/>
  <c r="F244" i="1"/>
  <c r="E244" i="1"/>
  <c r="J244" i="1"/>
  <c r="B246" i="1"/>
  <c r="D246" i="1" l="1"/>
  <c r="M246" i="1" s="1"/>
  <c r="L246" i="1"/>
  <c r="H244" i="1"/>
  <c r="I244" i="1" s="1"/>
  <c r="G246" i="1"/>
  <c r="C246" i="1"/>
  <c r="F245" i="1"/>
  <c r="E245" i="1"/>
  <c r="J245" i="1"/>
  <c r="B247" i="1"/>
  <c r="D247" i="1" l="1"/>
  <c r="M247" i="1" s="1"/>
  <c r="L247" i="1"/>
  <c r="H245" i="1"/>
  <c r="I245" i="1" s="1"/>
  <c r="G247" i="1"/>
  <c r="C247" i="1"/>
  <c r="F246" i="1"/>
  <c r="E246" i="1"/>
  <c r="J246" i="1"/>
  <c r="B248" i="1"/>
  <c r="D248" i="1" l="1"/>
  <c r="M248" i="1" s="1"/>
  <c r="L248" i="1"/>
  <c r="H246" i="1"/>
  <c r="I246" i="1" s="1"/>
  <c r="G248" i="1"/>
  <c r="C248" i="1"/>
  <c r="F247" i="1"/>
  <c r="E247" i="1"/>
  <c r="J247" i="1"/>
  <c r="B249" i="1"/>
  <c r="D249" i="1" l="1"/>
  <c r="M249" i="1" s="1"/>
  <c r="L249" i="1"/>
  <c r="H247" i="1"/>
  <c r="I247" i="1" s="1"/>
  <c r="F248" i="1"/>
  <c r="E248" i="1"/>
  <c r="G249" i="1"/>
  <c r="C249" i="1"/>
  <c r="J248" i="1"/>
  <c r="B250" i="1"/>
  <c r="H248" i="1" l="1"/>
  <c r="I248" i="1" s="1"/>
  <c r="D250" i="1"/>
  <c r="M250" i="1" s="1"/>
  <c r="L250" i="1"/>
  <c r="J249" i="1"/>
  <c r="G250" i="1"/>
  <c r="C250" i="1"/>
  <c r="F249" i="1"/>
  <c r="E249" i="1"/>
  <c r="B251" i="1"/>
  <c r="D251" i="1" l="1"/>
  <c r="M251" i="1" s="1"/>
  <c r="L251" i="1"/>
  <c r="H249" i="1"/>
  <c r="I249" i="1" s="1"/>
  <c r="F250" i="1"/>
  <c r="E250" i="1"/>
  <c r="J250" i="1"/>
  <c r="G251" i="1"/>
  <c r="C251" i="1"/>
  <c r="B252" i="1"/>
  <c r="D252" i="1" l="1"/>
  <c r="M252" i="1" s="1"/>
  <c r="L252" i="1"/>
  <c r="H250" i="1"/>
  <c r="I250" i="1" s="1"/>
  <c r="F251" i="1"/>
  <c r="E251" i="1"/>
  <c r="G252" i="1"/>
  <c r="C252" i="1"/>
  <c r="J251" i="1"/>
  <c r="B253" i="1"/>
  <c r="H251" i="1" l="1"/>
  <c r="I251" i="1" s="1"/>
  <c r="D253" i="1"/>
  <c r="M253" i="1" s="1"/>
  <c r="L253" i="1"/>
  <c r="G253" i="1"/>
  <c r="C253" i="1"/>
  <c r="F252" i="1"/>
  <c r="E252" i="1"/>
  <c r="J252" i="1"/>
  <c r="B254" i="1"/>
  <c r="D254" i="1" l="1"/>
  <c r="M254" i="1" s="1"/>
  <c r="L254" i="1"/>
  <c r="H252" i="1"/>
  <c r="I252" i="1" s="1"/>
  <c r="F253" i="1"/>
  <c r="E253" i="1"/>
  <c r="G254" i="1"/>
  <c r="C254" i="1"/>
  <c r="J253" i="1"/>
  <c r="B255" i="1"/>
  <c r="H253" i="1" l="1"/>
  <c r="I253" i="1" s="1"/>
  <c r="D255" i="1"/>
  <c r="M255" i="1" s="1"/>
  <c r="L255" i="1"/>
  <c r="F254" i="1"/>
  <c r="E254" i="1"/>
  <c r="J254" i="1"/>
  <c r="G255" i="1"/>
  <c r="C255" i="1"/>
  <c r="B256" i="1"/>
  <c r="D256" i="1" l="1"/>
  <c r="M256" i="1" s="1"/>
  <c r="L256" i="1"/>
  <c r="H254" i="1"/>
  <c r="I254" i="1" s="1"/>
  <c r="G256" i="1"/>
  <c r="C256" i="1"/>
  <c r="F255" i="1"/>
  <c r="E255" i="1"/>
  <c r="J255" i="1"/>
  <c r="B257" i="1"/>
  <c r="D257" i="1" l="1"/>
  <c r="M257" i="1" s="1"/>
  <c r="L257" i="1"/>
  <c r="H255" i="1"/>
  <c r="I255" i="1" s="1"/>
  <c r="F256" i="1"/>
  <c r="E256" i="1"/>
  <c r="G257" i="1"/>
  <c r="C257" i="1"/>
  <c r="J256" i="1"/>
  <c r="B258" i="1"/>
  <c r="H256" i="1" l="1"/>
  <c r="I256" i="1" s="1"/>
  <c r="D258" i="1"/>
  <c r="M258" i="1" s="1"/>
  <c r="L258" i="1"/>
  <c r="G258" i="1"/>
  <c r="C258" i="1"/>
  <c r="F257" i="1"/>
  <c r="E257" i="1"/>
  <c r="J257" i="1"/>
  <c r="B259" i="1"/>
  <c r="D259" i="1" l="1"/>
  <c r="M259" i="1" s="1"/>
  <c r="L259" i="1"/>
  <c r="H257" i="1"/>
  <c r="I257" i="1" s="1"/>
  <c r="G259" i="1"/>
  <c r="C259" i="1"/>
  <c r="F258" i="1"/>
  <c r="E258" i="1"/>
  <c r="J258" i="1"/>
  <c r="B260" i="1"/>
  <c r="D260" i="1" l="1"/>
  <c r="M260" i="1" s="1"/>
  <c r="L260" i="1"/>
  <c r="H258" i="1"/>
  <c r="I258" i="1" s="1"/>
  <c r="F259" i="1"/>
  <c r="E259" i="1"/>
  <c r="G260" i="1"/>
  <c r="C260" i="1"/>
  <c r="J259" i="1"/>
  <c r="B261" i="1"/>
  <c r="H259" i="1" l="1"/>
  <c r="I259" i="1" s="1"/>
  <c r="D261" i="1"/>
  <c r="M261" i="1" s="1"/>
  <c r="L261" i="1"/>
  <c r="G261" i="1"/>
  <c r="C261" i="1"/>
  <c r="F260" i="1"/>
  <c r="E260" i="1"/>
  <c r="J260" i="1"/>
  <c r="B262" i="1"/>
  <c r="D262" i="1" l="1"/>
  <c r="M262" i="1" s="1"/>
  <c r="L262" i="1"/>
  <c r="H260" i="1"/>
  <c r="I260" i="1" s="1"/>
  <c r="F261" i="1"/>
  <c r="E261" i="1"/>
  <c r="G262" i="1"/>
  <c r="C262" i="1"/>
  <c r="J261" i="1"/>
  <c r="B263" i="1"/>
  <c r="H261" i="1" l="1"/>
  <c r="I261" i="1" s="1"/>
  <c r="D263" i="1"/>
  <c r="M263" i="1" s="1"/>
  <c r="L263" i="1"/>
  <c r="F262" i="1"/>
  <c r="E262" i="1"/>
  <c r="J262" i="1"/>
  <c r="G263" i="1"/>
  <c r="C263" i="1"/>
  <c r="B264" i="1"/>
  <c r="D264" i="1" l="1"/>
  <c r="M264" i="1" s="1"/>
  <c r="L264" i="1"/>
  <c r="H262" i="1"/>
  <c r="I262" i="1" s="1"/>
  <c r="G264" i="1"/>
  <c r="C264" i="1"/>
  <c r="F263" i="1"/>
  <c r="E263" i="1"/>
  <c r="J263" i="1"/>
  <c r="B265" i="1"/>
  <c r="D265" i="1" l="1"/>
  <c r="M265" i="1" s="1"/>
  <c r="L265" i="1"/>
  <c r="H263" i="1"/>
  <c r="I263" i="1" s="1"/>
  <c r="G265" i="1"/>
  <c r="C265" i="1"/>
  <c r="F264" i="1"/>
  <c r="E264" i="1"/>
  <c r="J264" i="1"/>
  <c r="B266" i="1"/>
  <c r="D266" i="1" l="1"/>
  <c r="M266" i="1" s="1"/>
  <c r="L266" i="1"/>
  <c r="H264" i="1"/>
  <c r="I264" i="1" s="1"/>
  <c r="F265" i="1"/>
  <c r="E265" i="1"/>
  <c r="G266" i="1"/>
  <c r="C266" i="1"/>
  <c r="J265" i="1"/>
  <c r="B267" i="1"/>
  <c r="H265" i="1" l="1"/>
  <c r="I265" i="1" s="1"/>
  <c r="D267" i="1"/>
  <c r="M267" i="1" s="1"/>
  <c r="L267" i="1"/>
  <c r="G267" i="1"/>
  <c r="C267" i="1"/>
  <c r="J266" i="1"/>
  <c r="F266" i="1"/>
  <c r="E266" i="1"/>
  <c r="B268" i="1"/>
  <c r="D268" i="1" l="1"/>
  <c r="M268" i="1" s="1"/>
  <c r="L268" i="1"/>
  <c r="H266" i="1"/>
  <c r="I266" i="1" s="1"/>
  <c r="G268" i="1"/>
  <c r="C268" i="1"/>
  <c r="F267" i="1"/>
  <c r="E267" i="1"/>
  <c r="J267" i="1"/>
  <c r="B269" i="1"/>
  <c r="D269" i="1" l="1"/>
  <c r="M269" i="1" s="1"/>
  <c r="L269" i="1"/>
  <c r="H267" i="1"/>
  <c r="I267" i="1" s="1"/>
  <c r="F268" i="1"/>
  <c r="E268" i="1"/>
  <c r="G269" i="1"/>
  <c r="C269" i="1"/>
  <c r="J268" i="1"/>
  <c r="B270" i="1"/>
  <c r="H268" i="1" l="1"/>
  <c r="I268" i="1" s="1"/>
  <c r="D270" i="1"/>
  <c r="M270" i="1" s="1"/>
  <c r="L270" i="1"/>
  <c r="G270" i="1"/>
  <c r="C270" i="1"/>
  <c r="F269" i="1"/>
  <c r="E269" i="1"/>
  <c r="J269" i="1"/>
  <c r="B271" i="1"/>
  <c r="D271" i="1" l="1"/>
  <c r="M271" i="1" s="1"/>
  <c r="L271" i="1"/>
  <c r="H269" i="1"/>
  <c r="I269" i="1" s="1"/>
  <c r="F270" i="1"/>
  <c r="E270" i="1"/>
  <c r="G271" i="1"/>
  <c r="C271" i="1"/>
  <c r="J270" i="1"/>
  <c r="B272" i="1"/>
  <c r="H270" i="1" l="1"/>
  <c r="I270" i="1" s="1"/>
  <c r="D272" i="1"/>
  <c r="M272" i="1" s="1"/>
  <c r="L272" i="1"/>
  <c r="G272" i="1"/>
  <c r="C272" i="1"/>
  <c r="F271" i="1"/>
  <c r="E271" i="1"/>
  <c r="J271" i="1"/>
  <c r="B273" i="1"/>
  <c r="D273" i="1" l="1"/>
  <c r="M273" i="1" s="1"/>
  <c r="L273" i="1"/>
  <c r="H271" i="1"/>
  <c r="I271" i="1" s="1"/>
  <c r="F272" i="1"/>
  <c r="E272" i="1"/>
  <c r="G273" i="1"/>
  <c r="C273" i="1"/>
  <c r="J272" i="1"/>
  <c r="B274" i="1"/>
  <c r="H272" i="1" l="1"/>
  <c r="I272" i="1" s="1"/>
  <c r="D274" i="1"/>
  <c r="M274" i="1" s="1"/>
  <c r="L274" i="1"/>
  <c r="F273" i="1"/>
  <c r="E273" i="1"/>
  <c r="J273" i="1"/>
  <c r="G274" i="1"/>
  <c r="C274" i="1"/>
  <c r="B275" i="1"/>
  <c r="B19" i="1" s="1"/>
  <c r="D275" i="1" l="1"/>
  <c r="M275" i="1" s="1"/>
  <c r="L275" i="1"/>
  <c r="H273" i="1"/>
  <c r="I273" i="1" s="1"/>
  <c r="F274" i="1"/>
  <c r="E274" i="1"/>
  <c r="G275" i="1"/>
  <c r="C275" i="1"/>
  <c r="J274" i="1"/>
  <c r="H274" i="1" l="1"/>
  <c r="I274" i="1" s="1"/>
  <c r="L19" i="1"/>
  <c r="P21" i="1" s="1" a="1"/>
  <c r="P21" i="1" s="1"/>
  <c r="O275" i="1" a="1"/>
  <c r="O275" i="1" s="1"/>
  <c r="P41" i="1" a="1"/>
  <c r="P41" i="1" s="1"/>
  <c r="P44" i="1" a="1"/>
  <c r="P44" i="1" s="1"/>
  <c r="P48" i="1" a="1"/>
  <c r="P48" i="1" s="1"/>
  <c r="P49" i="1" a="1"/>
  <c r="P49" i="1" s="1"/>
  <c r="P52" i="1" a="1"/>
  <c r="P52" i="1" s="1"/>
  <c r="P56" i="1" a="1"/>
  <c r="P56" i="1" s="1"/>
  <c r="P57" i="1" a="1"/>
  <c r="P57" i="1" s="1"/>
  <c r="P60" i="1" a="1"/>
  <c r="P60" i="1" s="1"/>
  <c r="P64" i="1" a="1"/>
  <c r="P64" i="1" s="1"/>
  <c r="P65" i="1" a="1"/>
  <c r="P65" i="1" s="1"/>
  <c r="P68" i="1" a="1"/>
  <c r="P68" i="1" s="1"/>
  <c r="P72" i="1" a="1"/>
  <c r="P72" i="1" s="1"/>
  <c r="P73" i="1" a="1"/>
  <c r="P73" i="1" s="1"/>
  <c r="P76" i="1" a="1"/>
  <c r="P76" i="1" s="1"/>
  <c r="P80" i="1" a="1"/>
  <c r="P80" i="1" s="1"/>
  <c r="P81" i="1" a="1"/>
  <c r="P81" i="1" s="1"/>
  <c r="P84" i="1" a="1"/>
  <c r="P84" i="1" s="1"/>
  <c r="P87" i="1" a="1"/>
  <c r="P87" i="1" s="1"/>
  <c r="P88" i="1" a="1"/>
  <c r="P88" i="1" s="1"/>
  <c r="P89" i="1" a="1"/>
  <c r="P89" i="1" s="1"/>
  <c r="P92" i="1" a="1"/>
  <c r="P92" i="1" s="1"/>
  <c r="P93" i="1" a="1"/>
  <c r="P93" i="1" s="1"/>
  <c r="P95" i="1" a="1"/>
  <c r="P95" i="1" s="1"/>
  <c r="P97" i="1" a="1"/>
  <c r="P97" i="1" s="1"/>
  <c r="P99" i="1" a="1"/>
  <c r="P99" i="1" s="1"/>
  <c r="P100" i="1" a="1"/>
  <c r="P100" i="1" s="1"/>
  <c r="P103" i="1" a="1"/>
  <c r="P103" i="1" s="1"/>
  <c r="P104" i="1" a="1"/>
  <c r="P104" i="1" s="1"/>
  <c r="P105" i="1" a="1"/>
  <c r="P105" i="1" s="1"/>
  <c r="P108" i="1" a="1"/>
  <c r="P108" i="1" s="1"/>
  <c r="P109" i="1" a="1"/>
  <c r="P109" i="1" s="1"/>
  <c r="P111" i="1" a="1"/>
  <c r="P111" i="1" s="1"/>
  <c r="P113" i="1" a="1"/>
  <c r="P113" i="1" s="1"/>
  <c r="P115" i="1" a="1"/>
  <c r="P115" i="1" s="1"/>
  <c r="P116" i="1" a="1"/>
  <c r="P116" i="1" s="1"/>
  <c r="P119" i="1" a="1"/>
  <c r="P119" i="1" s="1"/>
  <c r="P120" i="1" a="1"/>
  <c r="P120" i="1" s="1"/>
  <c r="P121" i="1" a="1"/>
  <c r="P121" i="1" s="1"/>
  <c r="P123" i="1" a="1"/>
  <c r="P123" i="1" s="1"/>
  <c r="P124" i="1" a="1"/>
  <c r="P124" i="1" s="1"/>
  <c r="P125" i="1" a="1"/>
  <c r="P125" i="1" s="1"/>
  <c r="P127" i="1" a="1"/>
  <c r="P127" i="1" s="1"/>
  <c r="P128" i="1" a="1"/>
  <c r="P128" i="1" s="1"/>
  <c r="P129" i="1" a="1"/>
  <c r="P129" i="1" s="1"/>
  <c r="P131" i="1" a="1"/>
  <c r="P131" i="1" s="1"/>
  <c r="P132" i="1" a="1"/>
  <c r="P132" i="1" s="1"/>
  <c r="P133" i="1" a="1"/>
  <c r="P133" i="1" s="1"/>
  <c r="P135" i="1" a="1"/>
  <c r="P135" i="1" s="1"/>
  <c r="P136" i="1" a="1"/>
  <c r="P136" i="1" s="1"/>
  <c r="P137" i="1" a="1"/>
  <c r="P137" i="1" s="1"/>
  <c r="P139" i="1" a="1"/>
  <c r="P139" i="1" s="1"/>
  <c r="P140" i="1" a="1"/>
  <c r="P140" i="1" s="1"/>
  <c r="P141" i="1" a="1"/>
  <c r="P141" i="1" s="1"/>
  <c r="P143" i="1" a="1"/>
  <c r="P143" i="1" s="1"/>
  <c r="P144" i="1" a="1"/>
  <c r="P144" i="1" s="1"/>
  <c r="P145" i="1" a="1"/>
  <c r="P145" i="1" s="1"/>
  <c r="P147" i="1" a="1"/>
  <c r="P147" i="1" s="1"/>
  <c r="P148" i="1" a="1"/>
  <c r="P148" i="1" s="1"/>
  <c r="P149" i="1" a="1"/>
  <c r="P149" i="1" s="1"/>
  <c r="P151" i="1" a="1"/>
  <c r="P151" i="1" s="1"/>
  <c r="P152" i="1" a="1"/>
  <c r="P152" i="1" s="1"/>
  <c r="P153" i="1" a="1"/>
  <c r="P153" i="1" s="1"/>
  <c r="P155" i="1" a="1"/>
  <c r="P155" i="1" s="1"/>
  <c r="P156" i="1" a="1"/>
  <c r="P156" i="1" s="1"/>
  <c r="P157" i="1" a="1"/>
  <c r="P157" i="1" s="1"/>
  <c r="P159" i="1" a="1"/>
  <c r="P159" i="1" s="1"/>
  <c r="P160" i="1" a="1"/>
  <c r="P160" i="1" s="1"/>
  <c r="P161" i="1" a="1"/>
  <c r="P161" i="1" s="1"/>
  <c r="P163" i="1" a="1"/>
  <c r="P163" i="1" s="1"/>
  <c r="P164" i="1" a="1"/>
  <c r="P164" i="1" s="1"/>
  <c r="P165" i="1" a="1"/>
  <c r="P165" i="1" s="1"/>
  <c r="P167" i="1" a="1"/>
  <c r="P167" i="1" s="1"/>
  <c r="P168" i="1" a="1"/>
  <c r="P168" i="1" s="1"/>
  <c r="P169" i="1" a="1"/>
  <c r="P169" i="1" s="1"/>
  <c r="P171" i="1" a="1"/>
  <c r="P171" i="1" s="1"/>
  <c r="P172" i="1" a="1"/>
  <c r="P172" i="1" s="1"/>
  <c r="P173" i="1" a="1"/>
  <c r="P173" i="1" s="1"/>
  <c r="P175" i="1" a="1"/>
  <c r="P175" i="1" s="1"/>
  <c r="P176" i="1" a="1"/>
  <c r="P176" i="1" s="1"/>
  <c r="P177" i="1" a="1"/>
  <c r="P177" i="1" s="1"/>
  <c r="P179" i="1" a="1"/>
  <c r="P179" i="1" s="1"/>
  <c r="P180" i="1" a="1"/>
  <c r="P180" i="1" s="1"/>
  <c r="P181" i="1" a="1"/>
  <c r="P181" i="1" s="1"/>
  <c r="P183" i="1" a="1"/>
  <c r="P183" i="1" s="1"/>
  <c r="P184" i="1" a="1"/>
  <c r="P184" i="1" s="1"/>
  <c r="P185" i="1" a="1"/>
  <c r="P185" i="1" s="1"/>
  <c r="P187" i="1" a="1"/>
  <c r="P187" i="1" s="1"/>
  <c r="P188" i="1" a="1"/>
  <c r="P188" i="1" s="1"/>
  <c r="P189" i="1" a="1"/>
  <c r="P189" i="1" s="1"/>
  <c r="P191" i="1" a="1"/>
  <c r="P191" i="1" s="1"/>
  <c r="P192" i="1" a="1"/>
  <c r="P192" i="1" s="1"/>
  <c r="P193" i="1" a="1"/>
  <c r="P193" i="1" s="1"/>
  <c r="P195" i="1" a="1"/>
  <c r="P195" i="1" s="1"/>
  <c r="P196" i="1" a="1"/>
  <c r="P196" i="1" s="1"/>
  <c r="P197" i="1" a="1"/>
  <c r="P197" i="1" s="1"/>
  <c r="P199" i="1" a="1"/>
  <c r="P199" i="1" s="1"/>
  <c r="P200" i="1" a="1"/>
  <c r="P200" i="1" s="1"/>
  <c r="P201" i="1" a="1"/>
  <c r="P201" i="1" s="1"/>
  <c r="P203" i="1" a="1"/>
  <c r="P203" i="1" s="1"/>
  <c r="P204" i="1" a="1"/>
  <c r="P204" i="1" s="1"/>
  <c r="P205" i="1" a="1"/>
  <c r="P205" i="1" s="1"/>
  <c r="P206" i="1" a="1"/>
  <c r="P206" i="1" s="1"/>
  <c r="P207" i="1" a="1"/>
  <c r="P207" i="1" s="1"/>
  <c r="P208" i="1" a="1"/>
  <c r="P208" i="1" s="1"/>
  <c r="P209" i="1" a="1"/>
  <c r="P209" i="1" s="1"/>
  <c r="P210" i="1" a="1"/>
  <c r="P210" i="1" s="1"/>
  <c r="P211" i="1" a="1"/>
  <c r="P211" i="1" s="1"/>
  <c r="P212" i="1" a="1"/>
  <c r="P212" i="1" s="1"/>
  <c r="P213" i="1" a="1"/>
  <c r="P213" i="1" s="1"/>
  <c r="P214" i="1" a="1"/>
  <c r="P214" i="1" s="1"/>
  <c r="P215" i="1" a="1"/>
  <c r="P215" i="1" s="1"/>
  <c r="P216" i="1" a="1"/>
  <c r="P216" i="1" s="1"/>
  <c r="P217" i="1" a="1"/>
  <c r="P217" i="1" s="1"/>
  <c r="P218" i="1" a="1"/>
  <c r="P218" i="1" s="1"/>
  <c r="P219" i="1" a="1"/>
  <c r="P219" i="1" s="1"/>
  <c r="P220" i="1" a="1"/>
  <c r="P220" i="1" s="1"/>
  <c r="P221" i="1" a="1"/>
  <c r="P221" i="1" s="1"/>
  <c r="P222" i="1" a="1"/>
  <c r="P222" i="1" s="1"/>
  <c r="P223" i="1" a="1"/>
  <c r="P223" i="1" s="1"/>
  <c r="P224" i="1" a="1"/>
  <c r="P224" i="1" s="1"/>
  <c r="P225" i="1" a="1"/>
  <c r="P225" i="1" s="1"/>
  <c r="P226" i="1" a="1"/>
  <c r="P226" i="1" s="1"/>
  <c r="P227" i="1" a="1"/>
  <c r="P227" i="1" s="1"/>
  <c r="P228" i="1" a="1"/>
  <c r="P228" i="1" s="1"/>
  <c r="P229" i="1" a="1"/>
  <c r="P229" i="1" s="1"/>
  <c r="P230" i="1" a="1"/>
  <c r="P230" i="1" s="1"/>
  <c r="P231" i="1" a="1"/>
  <c r="P231" i="1" s="1"/>
  <c r="P232" i="1" a="1"/>
  <c r="P232" i="1" s="1"/>
  <c r="P233" i="1" a="1"/>
  <c r="P233" i="1" s="1"/>
  <c r="P234" i="1" a="1"/>
  <c r="P234" i="1" s="1"/>
  <c r="P235" i="1" a="1"/>
  <c r="P235" i="1" s="1"/>
  <c r="P236" i="1" a="1"/>
  <c r="P236" i="1" s="1"/>
  <c r="P237" i="1" a="1"/>
  <c r="P237" i="1" s="1"/>
  <c r="P238" i="1" a="1"/>
  <c r="P238" i="1" s="1"/>
  <c r="P239" i="1" a="1"/>
  <c r="P239" i="1" s="1"/>
  <c r="P240" i="1" a="1"/>
  <c r="P240" i="1" s="1"/>
  <c r="P241" i="1" a="1"/>
  <c r="P241" i="1" s="1"/>
  <c r="P242" i="1" a="1"/>
  <c r="P242" i="1" s="1"/>
  <c r="P243" i="1" a="1"/>
  <c r="P243" i="1" s="1"/>
  <c r="P244" i="1" a="1"/>
  <c r="P244" i="1" s="1"/>
  <c r="P245" i="1" a="1"/>
  <c r="P245" i="1" s="1"/>
  <c r="P246" i="1" a="1"/>
  <c r="P246" i="1" s="1"/>
  <c r="P247" i="1" a="1"/>
  <c r="P247" i="1" s="1"/>
  <c r="P248" i="1" a="1"/>
  <c r="P248" i="1" s="1"/>
  <c r="P249" i="1" a="1"/>
  <c r="P249" i="1" s="1"/>
  <c r="P250" i="1" a="1"/>
  <c r="P250" i="1" s="1"/>
  <c r="P251" i="1" a="1"/>
  <c r="P251" i="1" s="1"/>
  <c r="P252" i="1" a="1"/>
  <c r="P252" i="1" s="1"/>
  <c r="P253" i="1" a="1"/>
  <c r="P253" i="1" s="1"/>
  <c r="P254" i="1" a="1"/>
  <c r="P254" i="1" s="1"/>
  <c r="P255" i="1" a="1"/>
  <c r="P255" i="1" s="1"/>
  <c r="P256" i="1" a="1"/>
  <c r="P256" i="1" s="1"/>
  <c r="P257" i="1" a="1"/>
  <c r="P257" i="1" s="1"/>
  <c r="P258" i="1" a="1"/>
  <c r="P258" i="1" s="1"/>
  <c r="P259" i="1" a="1"/>
  <c r="P259" i="1" s="1"/>
  <c r="P260" i="1" a="1"/>
  <c r="P260" i="1" s="1"/>
  <c r="P261" i="1" a="1"/>
  <c r="P261" i="1" s="1"/>
  <c r="P262" i="1" a="1"/>
  <c r="P262" i="1" s="1"/>
  <c r="P263" i="1" a="1"/>
  <c r="P263" i="1" s="1"/>
  <c r="P264" i="1" a="1"/>
  <c r="P264" i="1" s="1"/>
  <c r="P265" i="1" a="1"/>
  <c r="P265" i="1" s="1"/>
  <c r="P266" i="1" a="1"/>
  <c r="P266" i="1" s="1"/>
  <c r="P267" i="1" a="1"/>
  <c r="P267" i="1" s="1"/>
  <c r="P268" i="1" a="1"/>
  <c r="P268" i="1" s="1"/>
  <c r="P269" i="1" a="1"/>
  <c r="P269" i="1" s="1"/>
  <c r="P270" i="1" a="1"/>
  <c r="P270" i="1" s="1"/>
  <c r="P271" i="1" a="1"/>
  <c r="P271" i="1" s="1"/>
  <c r="P272" i="1" a="1"/>
  <c r="P272" i="1" s="1"/>
  <c r="P273" i="1" a="1"/>
  <c r="P273" i="1" s="1"/>
  <c r="P274" i="1" a="1"/>
  <c r="P274" i="1" s="1"/>
  <c r="P275" i="1" a="1"/>
  <c r="P275" i="1" s="1"/>
  <c r="H14" i="1"/>
  <c r="H13" i="1"/>
  <c r="F275" i="1"/>
  <c r="E275" i="1"/>
  <c r="E19" i="1" s="1"/>
  <c r="J275" i="1"/>
  <c r="H17" i="1" s="1"/>
  <c r="P36" i="1" l="1" a="1"/>
  <c r="P36" i="1" s="1"/>
  <c r="P40" i="1" a="1"/>
  <c r="P40" i="1" s="1"/>
  <c r="P26" i="1" a="1"/>
  <c r="P26" i="1" s="1"/>
  <c r="P33" i="1" a="1"/>
  <c r="P33" i="1" s="1"/>
  <c r="P32" i="1" a="1"/>
  <c r="P32" i="1" s="1"/>
  <c r="P202" i="1" a="1"/>
  <c r="P202" i="1" s="1"/>
  <c r="P198" i="1" a="1"/>
  <c r="P198" i="1" s="1"/>
  <c r="P194" i="1" a="1"/>
  <c r="P194" i="1" s="1"/>
  <c r="P190" i="1" a="1"/>
  <c r="P190" i="1" s="1"/>
  <c r="P186" i="1" a="1"/>
  <c r="P186" i="1" s="1"/>
  <c r="P182" i="1" a="1"/>
  <c r="P182" i="1" s="1"/>
  <c r="P178" i="1" a="1"/>
  <c r="P178" i="1" s="1"/>
  <c r="P174" i="1" a="1"/>
  <c r="P174" i="1" s="1"/>
  <c r="P170" i="1" a="1"/>
  <c r="P170" i="1" s="1"/>
  <c r="P166" i="1" a="1"/>
  <c r="P166" i="1" s="1"/>
  <c r="P162" i="1" a="1"/>
  <c r="P162" i="1" s="1"/>
  <c r="P158" i="1" a="1"/>
  <c r="P158" i="1" s="1"/>
  <c r="P154" i="1" a="1"/>
  <c r="P154" i="1" s="1"/>
  <c r="P150" i="1" a="1"/>
  <c r="P150" i="1" s="1"/>
  <c r="P146" i="1" a="1"/>
  <c r="P146" i="1" s="1"/>
  <c r="P142" i="1" a="1"/>
  <c r="P142" i="1" s="1"/>
  <c r="P138" i="1" a="1"/>
  <c r="P138" i="1" s="1"/>
  <c r="P134" i="1" a="1"/>
  <c r="P134" i="1" s="1"/>
  <c r="P130" i="1" a="1"/>
  <c r="P130" i="1" s="1"/>
  <c r="P126" i="1" a="1"/>
  <c r="P126" i="1" s="1"/>
  <c r="P122" i="1" a="1"/>
  <c r="P122" i="1" s="1"/>
  <c r="P117" i="1" a="1"/>
  <c r="P117" i="1" s="1"/>
  <c r="P112" i="1" a="1"/>
  <c r="P112" i="1" s="1"/>
  <c r="P107" i="1" a="1"/>
  <c r="P107" i="1" s="1"/>
  <c r="P101" i="1" a="1"/>
  <c r="P101" i="1" s="1"/>
  <c r="P96" i="1" a="1"/>
  <c r="P96" i="1" s="1"/>
  <c r="P91" i="1" a="1"/>
  <c r="P91" i="1" s="1"/>
  <c r="P85" i="1" a="1"/>
  <c r="P85" i="1" s="1"/>
  <c r="P77" i="1" a="1"/>
  <c r="P77" i="1" s="1"/>
  <c r="P69" i="1" a="1"/>
  <c r="P69" i="1" s="1"/>
  <c r="P61" i="1" a="1"/>
  <c r="P61" i="1" s="1"/>
  <c r="P53" i="1" a="1"/>
  <c r="P53" i="1" s="1"/>
  <c r="P45" i="1" a="1"/>
  <c r="P45" i="1" s="1"/>
  <c r="P37" i="1" a="1"/>
  <c r="P37" i="1" s="1"/>
  <c r="P27" i="1" a="1"/>
  <c r="P27" i="1" s="1"/>
  <c r="P83" i="1" a="1"/>
  <c r="P83" i="1" s="1"/>
  <c r="P79" i="1" a="1"/>
  <c r="P79" i="1" s="1"/>
  <c r="P75" i="1" a="1"/>
  <c r="P75" i="1" s="1"/>
  <c r="P71" i="1" a="1"/>
  <c r="P71" i="1" s="1"/>
  <c r="P67" i="1" a="1"/>
  <c r="P67" i="1" s="1"/>
  <c r="P63" i="1" a="1"/>
  <c r="P63" i="1" s="1"/>
  <c r="P59" i="1" a="1"/>
  <c r="P59" i="1" s="1"/>
  <c r="P55" i="1" a="1"/>
  <c r="P55" i="1" s="1"/>
  <c r="P51" i="1" a="1"/>
  <c r="P51" i="1" s="1"/>
  <c r="P47" i="1" a="1"/>
  <c r="P47" i="1" s="1"/>
  <c r="P43" i="1" a="1"/>
  <c r="P43" i="1" s="1"/>
  <c r="P39" i="1" a="1"/>
  <c r="P39" i="1" s="1"/>
  <c r="P35" i="1" a="1"/>
  <c r="P35" i="1" s="1"/>
  <c r="P31" i="1" a="1"/>
  <c r="P31" i="1" s="1"/>
  <c r="P23" i="1" a="1"/>
  <c r="P23" i="1" s="1"/>
  <c r="P118" i="1" a="1"/>
  <c r="P118" i="1" s="1"/>
  <c r="P114" i="1" a="1"/>
  <c r="P114" i="1" s="1"/>
  <c r="P110" i="1" a="1"/>
  <c r="P110" i="1" s="1"/>
  <c r="P106" i="1" a="1"/>
  <c r="P106" i="1" s="1"/>
  <c r="P102" i="1" a="1"/>
  <c r="P102" i="1" s="1"/>
  <c r="P98" i="1" a="1"/>
  <c r="P98" i="1" s="1"/>
  <c r="P94" i="1" a="1"/>
  <c r="P94" i="1" s="1"/>
  <c r="P90" i="1" a="1"/>
  <c r="P90" i="1" s="1"/>
  <c r="P86" i="1" a="1"/>
  <c r="P86" i="1" s="1"/>
  <c r="P82" i="1" a="1"/>
  <c r="P82" i="1" s="1"/>
  <c r="P78" i="1" a="1"/>
  <c r="P78" i="1" s="1"/>
  <c r="P74" i="1" a="1"/>
  <c r="P74" i="1" s="1"/>
  <c r="P70" i="1" a="1"/>
  <c r="P70" i="1" s="1"/>
  <c r="P66" i="1" a="1"/>
  <c r="P66" i="1" s="1"/>
  <c r="P62" i="1" a="1"/>
  <c r="P62" i="1" s="1"/>
  <c r="P58" i="1" a="1"/>
  <c r="P58" i="1" s="1"/>
  <c r="P54" i="1" a="1"/>
  <c r="P54" i="1" s="1"/>
  <c r="P50" i="1" a="1"/>
  <c r="P50" i="1" s="1"/>
  <c r="P46" i="1" a="1"/>
  <c r="P46" i="1" s="1"/>
  <c r="P42" i="1" a="1"/>
  <c r="P42" i="1" s="1"/>
  <c r="P38" i="1" a="1"/>
  <c r="P38" i="1" s="1"/>
  <c r="P34" i="1" a="1"/>
  <c r="P34" i="1" s="1"/>
  <c r="P30" i="1" a="1"/>
  <c r="P30" i="1" s="1"/>
  <c r="P22" i="1" a="1"/>
  <c r="P22" i="1" s="1"/>
  <c r="P29" i="1" a="1"/>
  <c r="P29" i="1" s="1"/>
  <c r="P25" i="1" a="1"/>
  <c r="P25" i="1" s="1"/>
  <c r="P20" i="1" a="1"/>
  <c r="P20" i="1" s="1"/>
  <c r="P28" i="1" a="1"/>
  <c r="P28" i="1" s="1"/>
  <c r="P24" i="1" a="1"/>
  <c r="P24" i="1" s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T16" i="1"/>
  <c r="R19" i="1" s="1"/>
  <c r="O20" i="1" a="1"/>
  <c r="O20" i="1" s="1"/>
  <c r="O21" i="1" a="1"/>
  <c r="O21" i="1" s="1"/>
  <c r="T21" i="1" s="1"/>
  <c r="O22" i="1" a="1"/>
  <c r="O22" i="1" s="1"/>
  <c r="O23" i="1" a="1"/>
  <c r="O23" i="1" s="1"/>
  <c r="T23" i="1" s="1"/>
  <c r="O24" i="1" a="1"/>
  <c r="O24" i="1" s="1"/>
  <c r="O25" i="1" a="1"/>
  <c r="O25" i="1" s="1"/>
  <c r="O26" i="1" a="1"/>
  <c r="O26" i="1" s="1"/>
  <c r="T26" i="1" s="1"/>
  <c r="O27" i="1" a="1"/>
  <c r="O27" i="1" s="1"/>
  <c r="O28" i="1" a="1"/>
  <c r="O28" i="1" s="1"/>
  <c r="T28" i="1" s="1"/>
  <c r="O29" i="1" a="1"/>
  <c r="O29" i="1" s="1"/>
  <c r="T29" i="1" s="1"/>
  <c r="O30" i="1" a="1"/>
  <c r="O30" i="1" s="1"/>
  <c r="O31" i="1" a="1"/>
  <c r="O31" i="1" s="1"/>
  <c r="T31" i="1" s="1"/>
  <c r="O32" i="1" a="1"/>
  <c r="O32" i="1" s="1"/>
  <c r="O33" i="1" a="1"/>
  <c r="O33" i="1" s="1"/>
  <c r="T33" i="1" s="1"/>
  <c r="O34" i="1" a="1"/>
  <c r="O34" i="1" s="1"/>
  <c r="T34" i="1" s="1"/>
  <c r="O35" i="1" a="1"/>
  <c r="O35" i="1" s="1"/>
  <c r="O36" i="1" a="1"/>
  <c r="O36" i="1" s="1"/>
  <c r="T36" i="1" s="1"/>
  <c r="O37" i="1" a="1"/>
  <c r="O37" i="1" s="1"/>
  <c r="T37" i="1" s="1"/>
  <c r="O38" i="1" a="1"/>
  <c r="O38" i="1" s="1"/>
  <c r="O39" i="1" a="1"/>
  <c r="O39" i="1" s="1"/>
  <c r="O40" i="1" a="1"/>
  <c r="O40" i="1" s="1"/>
  <c r="T40" i="1" s="1"/>
  <c r="O41" i="1" a="1"/>
  <c r="O41" i="1" s="1"/>
  <c r="T41" i="1" s="1"/>
  <c r="O42" i="1" a="1"/>
  <c r="O42" i="1" s="1"/>
  <c r="T42" i="1" s="1"/>
  <c r="O43" i="1" a="1"/>
  <c r="O43" i="1" s="1"/>
  <c r="T43" i="1" s="1"/>
  <c r="O44" i="1" a="1"/>
  <c r="O44" i="1" s="1"/>
  <c r="T44" i="1" s="1"/>
  <c r="O45" i="1" a="1"/>
  <c r="O45" i="1" s="1"/>
  <c r="O46" i="1" a="1"/>
  <c r="O46" i="1" s="1"/>
  <c r="O47" i="1" a="1"/>
  <c r="O47" i="1" s="1"/>
  <c r="T47" i="1" s="1"/>
  <c r="O48" i="1" a="1"/>
  <c r="O48" i="1" s="1"/>
  <c r="T48" i="1" s="1"/>
  <c r="O49" i="1" a="1"/>
  <c r="O49" i="1" s="1"/>
  <c r="T49" i="1" s="1"/>
  <c r="O50" i="1" a="1"/>
  <c r="O50" i="1" s="1"/>
  <c r="T50" i="1" s="1"/>
  <c r="O51" i="1" a="1"/>
  <c r="O51" i="1" s="1"/>
  <c r="O52" i="1" a="1"/>
  <c r="O52" i="1" s="1"/>
  <c r="T52" i="1" s="1"/>
  <c r="O53" i="1" a="1"/>
  <c r="O53" i="1" s="1"/>
  <c r="O54" i="1" a="1"/>
  <c r="O54" i="1" s="1"/>
  <c r="O55" i="1" a="1"/>
  <c r="O55" i="1" s="1"/>
  <c r="O56" i="1" a="1"/>
  <c r="O56" i="1" s="1"/>
  <c r="T56" i="1" s="1"/>
  <c r="O57" i="1" a="1"/>
  <c r="O57" i="1" s="1"/>
  <c r="T57" i="1" s="1"/>
  <c r="O58" i="1" a="1"/>
  <c r="O58" i="1" s="1"/>
  <c r="T58" i="1" s="1"/>
  <c r="O59" i="1" a="1"/>
  <c r="O59" i="1" s="1"/>
  <c r="T59" i="1" s="1"/>
  <c r="O60" i="1" a="1"/>
  <c r="O60" i="1" s="1"/>
  <c r="T60" i="1" s="1"/>
  <c r="O61" i="1" a="1"/>
  <c r="O61" i="1" s="1"/>
  <c r="T61" i="1" s="1"/>
  <c r="O62" i="1" a="1"/>
  <c r="O62" i="1" s="1"/>
  <c r="O63" i="1" a="1"/>
  <c r="O63" i="1" s="1"/>
  <c r="T63" i="1" s="1"/>
  <c r="O64" i="1" a="1"/>
  <c r="O64" i="1" s="1"/>
  <c r="T64" i="1" s="1"/>
  <c r="O65" i="1" a="1"/>
  <c r="O65" i="1" s="1"/>
  <c r="T65" i="1" s="1"/>
  <c r="O66" i="1" a="1"/>
  <c r="O66" i="1" s="1"/>
  <c r="T66" i="1" s="1"/>
  <c r="O67" i="1" a="1"/>
  <c r="O67" i="1" s="1"/>
  <c r="O68" i="1" a="1"/>
  <c r="O68" i="1" s="1"/>
  <c r="T68" i="1" s="1"/>
  <c r="O69" i="1" a="1"/>
  <c r="O69" i="1" s="1"/>
  <c r="T69" i="1" s="1"/>
  <c r="O70" i="1" a="1"/>
  <c r="O70" i="1" s="1"/>
  <c r="O71" i="1" a="1"/>
  <c r="O71" i="1" s="1"/>
  <c r="O72" i="1" a="1"/>
  <c r="O72" i="1" s="1"/>
  <c r="T72" i="1" s="1"/>
  <c r="O73" i="1" a="1"/>
  <c r="O73" i="1" s="1"/>
  <c r="T73" i="1" s="1"/>
  <c r="O74" i="1" a="1"/>
  <c r="O74" i="1" s="1"/>
  <c r="T74" i="1" s="1"/>
  <c r="O75" i="1" a="1"/>
  <c r="O75" i="1" s="1"/>
  <c r="T75" i="1" s="1"/>
  <c r="O76" i="1" a="1"/>
  <c r="O76" i="1" s="1"/>
  <c r="T76" i="1" s="1"/>
  <c r="O77" i="1" a="1"/>
  <c r="O77" i="1" s="1"/>
  <c r="O78" i="1" a="1"/>
  <c r="O78" i="1" s="1"/>
  <c r="O79" i="1" a="1"/>
  <c r="O79" i="1" s="1"/>
  <c r="T79" i="1" s="1"/>
  <c r="O80" i="1" a="1"/>
  <c r="O80" i="1" s="1"/>
  <c r="T80" i="1" s="1"/>
  <c r="O81" i="1" a="1"/>
  <c r="O81" i="1" s="1"/>
  <c r="T81" i="1" s="1"/>
  <c r="O82" i="1" a="1"/>
  <c r="O82" i="1" s="1"/>
  <c r="T82" i="1" s="1"/>
  <c r="O83" i="1" a="1"/>
  <c r="O83" i="1" s="1"/>
  <c r="O84" i="1" a="1"/>
  <c r="O84" i="1" s="1"/>
  <c r="T84" i="1" s="1"/>
  <c r="O85" i="1" a="1"/>
  <c r="O85" i="1" s="1"/>
  <c r="O86" i="1" a="1"/>
  <c r="O86" i="1" s="1"/>
  <c r="O87" i="1" a="1"/>
  <c r="O87" i="1" s="1"/>
  <c r="T87" i="1" s="1"/>
  <c r="O88" i="1" a="1"/>
  <c r="O88" i="1" s="1"/>
  <c r="T88" i="1" s="1"/>
  <c r="O89" i="1" a="1"/>
  <c r="O89" i="1" s="1"/>
  <c r="T89" i="1" s="1"/>
  <c r="O90" i="1" a="1"/>
  <c r="O90" i="1" s="1"/>
  <c r="T90" i="1" s="1"/>
  <c r="O91" i="1" a="1"/>
  <c r="O91" i="1" s="1"/>
  <c r="O92" i="1" a="1"/>
  <c r="O92" i="1" s="1"/>
  <c r="T92" i="1" s="1"/>
  <c r="O93" i="1" a="1"/>
  <c r="O93" i="1" s="1"/>
  <c r="T93" i="1" s="1"/>
  <c r="O94" i="1" a="1"/>
  <c r="O94" i="1" s="1"/>
  <c r="O95" i="1" a="1"/>
  <c r="O95" i="1" s="1"/>
  <c r="T95" i="1" s="1"/>
  <c r="O96" i="1" a="1"/>
  <c r="O96" i="1" s="1"/>
  <c r="T96" i="1" s="1"/>
  <c r="O97" i="1" a="1"/>
  <c r="O97" i="1" s="1"/>
  <c r="T97" i="1" s="1"/>
  <c r="O98" i="1" a="1"/>
  <c r="O98" i="1" s="1"/>
  <c r="T98" i="1" s="1"/>
  <c r="O99" i="1" a="1"/>
  <c r="O99" i="1" s="1"/>
  <c r="T99" i="1" s="1"/>
  <c r="O100" i="1" a="1"/>
  <c r="O100" i="1" s="1"/>
  <c r="T100" i="1" s="1"/>
  <c r="O101" i="1" a="1"/>
  <c r="O101" i="1" s="1"/>
  <c r="O102" i="1" a="1"/>
  <c r="O102" i="1" s="1"/>
  <c r="O103" i="1" a="1"/>
  <c r="O103" i="1" s="1"/>
  <c r="T103" i="1" s="1"/>
  <c r="O104" i="1" a="1"/>
  <c r="O104" i="1" s="1"/>
  <c r="T104" i="1" s="1"/>
  <c r="O105" i="1" a="1"/>
  <c r="O105" i="1" s="1"/>
  <c r="T105" i="1" s="1"/>
  <c r="O106" i="1" a="1"/>
  <c r="O106" i="1" s="1"/>
  <c r="T106" i="1" s="1"/>
  <c r="O107" i="1" a="1"/>
  <c r="O107" i="1" s="1"/>
  <c r="O108" i="1" a="1"/>
  <c r="O108" i="1" s="1"/>
  <c r="T108" i="1" s="1"/>
  <c r="O109" i="1" a="1"/>
  <c r="O109" i="1" s="1"/>
  <c r="T109" i="1" s="1"/>
  <c r="O110" i="1" a="1"/>
  <c r="O110" i="1" s="1"/>
  <c r="O111" i="1" a="1"/>
  <c r="O111" i="1" s="1"/>
  <c r="T111" i="1" s="1"/>
  <c r="O112" i="1" a="1"/>
  <c r="O112" i="1" s="1"/>
  <c r="O113" i="1" a="1"/>
  <c r="O113" i="1" s="1"/>
  <c r="T113" i="1" s="1"/>
  <c r="O114" i="1" a="1"/>
  <c r="O114" i="1" s="1"/>
  <c r="T114" i="1" s="1"/>
  <c r="O115" i="1" a="1"/>
  <c r="O115" i="1" s="1"/>
  <c r="T115" i="1" s="1"/>
  <c r="O116" i="1" a="1"/>
  <c r="O116" i="1" s="1"/>
  <c r="T116" i="1" s="1"/>
  <c r="O117" i="1" a="1"/>
  <c r="O117" i="1" s="1"/>
  <c r="T117" i="1" s="1"/>
  <c r="O118" i="1" a="1"/>
  <c r="O118" i="1" s="1"/>
  <c r="O119" i="1" a="1"/>
  <c r="O119" i="1" s="1"/>
  <c r="T119" i="1" s="1"/>
  <c r="O120" i="1" a="1"/>
  <c r="O120" i="1" s="1"/>
  <c r="T120" i="1" s="1"/>
  <c r="O121" i="1" a="1"/>
  <c r="O121" i="1" s="1"/>
  <c r="T121" i="1" s="1"/>
  <c r="O122" i="1" a="1"/>
  <c r="O122" i="1" s="1"/>
  <c r="O123" i="1" a="1"/>
  <c r="O123" i="1" s="1"/>
  <c r="T123" i="1" s="1"/>
  <c r="O124" i="1" a="1"/>
  <c r="O124" i="1" s="1"/>
  <c r="T124" i="1" s="1"/>
  <c r="O125" i="1" a="1"/>
  <c r="O125" i="1" s="1"/>
  <c r="T125" i="1" s="1"/>
  <c r="O126" i="1" a="1"/>
  <c r="O126" i="1" s="1"/>
  <c r="T126" i="1" s="1"/>
  <c r="O127" i="1" a="1"/>
  <c r="O127" i="1" s="1"/>
  <c r="T127" i="1" s="1"/>
  <c r="O128" i="1" a="1"/>
  <c r="O128" i="1" s="1"/>
  <c r="T128" i="1" s="1"/>
  <c r="O129" i="1" a="1"/>
  <c r="O129" i="1" s="1"/>
  <c r="T129" i="1" s="1"/>
  <c r="O130" i="1" a="1"/>
  <c r="O130" i="1" s="1"/>
  <c r="O131" i="1" a="1"/>
  <c r="O131" i="1" s="1"/>
  <c r="T131" i="1" s="1"/>
  <c r="O132" i="1" a="1"/>
  <c r="O132" i="1" s="1"/>
  <c r="T132" i="1" s="1"/>
  <c r="O133" i="1" a="1"/>
  <c r="O133" i="1" s="1"/>
  <c r="T133" i="1" s="1"/>
  <c r="O134" i="1" a="1"/>
  <c r="O134" i="1" s="1"/>
  <c r="T134" i="1" s="1"/>
  <c r="O135" i="1" a="1"/>
  <c r="O135" i="1" s="1"/>
  <c r="T135" i="1" s="1"/>
  <c r="O136" i="1" a="1"/>
  <c r="O136" i="1" s="1"/>
  <c r="T136" i="1" s="1"/>
  <c r="O137" i="1" a="1"/>
  <c r="O137" i="1" s="1"/>
  <c r="T137" i="1" s="1"/>
  <c r="O138" i="1" a="1"/>
  <c r="O138" i="1" s="1"/>
  <c r="O139" i="1" a="1"/>
  <c r="O139" i="1" s="1"/>
  <c r="T139" i="1" s="1"/>
  <c r="O140" i="1" a="1"/>
  <c r="O140" i="1" s="1"/>
  <c r="T140" i="1" s="1"/>
  <c r="O141" i="1" a="1"/>
  <c r="O141" i="1" s="1"/>
  <c r="T141" i="1" s="1"/>
  <c r="O142" i="1" a="1"/>
  <c r="O142" i="1" s="1"/>
  <c r="T142" i="1" s="1"/>
  <c r="O143" i="1" a="1"/>
  <c r="O143" i="1" s="1"/>
  <c r="T143" i="1" s="1"/>
  <c r="O144" i="1" a="1"/>
  <c r="O144" i="1" s="1"/>
  <c r="T144" i="1" s="1"/>
  <c r="O145" i="1" a="1"/>
  <c r="O145" i="1" s="1"/>
  <c r="T145" i="1" s="1"/>
  <c r="O146" i="1" a="1"/>
  <c r="O146" i="1" s="1"/>
  <c r="O147" i="1" a="1"/>
  <c r="O147" i="1" s="1"/>
  <c r="T147" i="1" s="1"/>
  <c r="O148" i="1" a="1"/>
  <c r="O148" i="1" s="1"/>
  <c r="T148" i="1" s="1"/>
  <c r="O149" i="1" a="1"/>
  <c r="O149" i="1" s="1"/>
  <c r="O150" i="1" a="1"/>
  <c r="O150" i="1" s="1"/>
  <c r="O151" i="1" a="1"/>
  <c r="O151" i="1" s="1"/>
  <c r="O152" i="1" a="1"/>
  <c r="O152" i="1" s="1"/>
  <c r="O153" i="1" a="1"/>
  <c r="O153" i="1" s="1"/>
  <c r="O154" i="1" a="1"/>
  <c r="O154" i="1" s="1"/>
  <c r="O155" i="1" a="1"/>
  <c r="O155" i="1" s="1"/>
  <c r="O156" i="1" a="1"/>
  <c r="O156" i="1" s="1"/>
  <c r="O157" i="1" a="1"/>
  <c r="O157" i="1" s="1"/>
  <c r="O158" i="1" a="1"/>
  <c r="O158" i="1" s="1"/>
  <c r="O159" i="1" a="1"/>
  <c r="O159" i="1" s="1"/>
  <c r="O160" i="1" a="1"/>
  <c r="O160" i="1" s="1"/>
  <c r="O161" i="1" a="1"/>
  <c r="O161" i="1" s="1"/>
  <c r="O162" i="1" a="1"/>
  <c r="O162" i="1" s="1"/>
  <c r="O163" i="1" a="1"/>
  <c r="O163" i="1" s="1"/>
  <c r="O164" i="1" a="1"/>
  <c r="O164" i="1" s="1"/>
  <c r="O165" i="1" a="1"/>
  <c r="O165" i="1" s="1"/>
  <c r="O166" i="1" a="1"/>
  <c r="O166" i="1" s="1"/>
  <c r="O167" i="1" a="1"/>
  <c r="O167" i="1" s="1"/>
  <c r="O168" i="1" a="1"/>
  <c r="O168" i="1" s="1"/>
  <c r="O169" i="1" a="1"/>
  <c r="O169" i="1" s="1"/>
  <c r="O170" i="1" a="1"/>
  <c r="O170" i="1" s="1"/>
  <c r="O171" i="1" a="1"/>
  <c r="O171" i="1" s="1"/>
  <c r="O172" i="1" a="1"/>
  <c r="O172" i="1" s="1"/>
  <c r="O173" i="1" a="1"/>
  <c r="O173" i="1" s="1"/>
  <c r="O174" i="1" a="1"/>
  <c r="O174" i="1" s="1"/>
  <c r="O175" i="1" a="1"/>
  <c r="O175" i="1" s="1"/>
  <c r="O176" i="1" a="1"/>
  <c r="O176" i="1" s="1"/>
  <c r="O177" i="1" a="1"/>
  <c r="O177" i="1" s="1"/>
  <c r="O178" i="1" a="1"/>
  <c r="O178" i="1" s="1"/>
  <c r="O179" i="1" a="1"/>
  <c r="O179" i="1" s="1"/>
  <c r="O180" i="1" a="1"/>
  <c r="O180" i="1" s="1"/>
  <c r="O181" i="1" a="1"/>
  <c r="O181" i="1" s="1"/>
  <c r="O182" i="1" a="1"/>
  <c r="O182" i="1" s="1"/>
  <c r="O183" i="1" a="1"/>
  <c r="O183" i="1" s="1"/>
  <c r="O184" i="1" a="1"/>
  <c r="O184" i="1" s="1"/>
  <c r="O185" i="1" a="1"/>
  <c r="O185" i="1" s="1"/>
  <c r="O186" i="1" a="1"/>
  <c r="O186" i="1" s="1"/>
  <c r="O187" i="1" a="1"/>
  <c r="O187" i="1" s="1"/>
  <c r="O188" i="1" a="1"/>
  <c r="O188" i="1" s="1"/>
  <c r="O189" i="1" a="1"/>
  <c r="O189" i="1" s="1"/>
  <c r="O190" i="1" a="1"/>
  <c r="O190" i="1" s="1"/>
  <c r="O191" i="1" a="1"/>
  <c r="O191" i="1" s="1"/>
  <c r="O192" i="1" a="1"/>
  <c r="O192" i="1" s="1"/>
  <c r="O193" i="1" a="1"/>
  <c r="O193" i="1" s="1"/>
  <c r="O194" i="1" a="1"/>
  <c r="O194" i="1" s="1"/>
  <c r="O195" i="1" a="1"/>
  <c r="O195" i="1" s="1"/>
  <c r="O196" i="1" a="1"/>
  <c r="O196" i="1" s="1"/>
  <c r="O197" i="1" a="1"/>
  <c r="O197" i="1" s="1"/>
  <c r="O198" i="1" a="1"/>
  <c r="O198" i="1" s="1"/>
  <c r="O199" i="1" a="1"/>
  <c r="O199" i="1" s="1"/>
  <c r="O200" i="1" a="1"/>
  <c r="O200" i="1" s="1"/>
  <c r="O201" i="1" a="1"/>
  <c r="O201" i="1" s="1"/>
  <c r="O202" i="1" a="1"/>
  <c r="O202" i="1" s="1"/>
  <c r="O203" i="1" a="1"/>
  <c r="O203" i="1" s="1"/>
  <c r="O204" i="1" a="1"/>
  <c r="O204" i="1" s="1"/>
  <c r="O205" i="1" a="1"/>
  <c r="O205" i="1" s="1"/>
  <c r="O206" i="1" a="1"/>
  <c r="O206" i="1" s="1"/>
  <c r="O207" i="1" a="1"/>
  <c r="O207" i="1" s="1"/>
  <c r="O208" i="1" a="1"/>
  <c r="O208" i="1" s="1"/>
  <c r="O209" i="1" a="1"/>
  <c r="O209" i="1" s="1"/>
  <c r="O210" i="1" a="1"/>
  <c r="O210" i="1" s="1"/>
  <c r="O211" i="1" a="1"/>
  <c r="O211" i="1" s="1"/>
  <c r="O212" i="1" a="1"/>
  <c r="O212" i="1" s="1"/>
  <c r="O213" i="1" a="1"/>
  <c r="O213" i="1" s="1"/>
  <c r="O214" i="1" a="1"/>
  <c r="O214" i="1" s="1"/>
  <c r="O215" i="1" a="1"/>
  <c r="O215" i="1" s="1"/>
  <c r="O216" i="1" a="1"/>
  <c r="O216" i="1" s="1"/>
  <c r="O217" i="1" a="1"/>
  <c r="O217" i="1" s="1"/>
  <c r="O218" i="1" a="1"/>
  <c r="O218" i="1" s="1"/>
  <c r="O219" i="1" a="1"/>
  <c r="O219" i="1" s="1"/>
  <c r="O220" i="1" a="1"/>
  <c r="O220" i="1" s="1"/>
  <c r="O221" i="1" a="1"/>
  <c r="O221" i="1" s="1"/>
  <c r="O222" i="1" a="1"/>
  <c r="O222" i="1" s="1"/>
  <c r="O223" i="1" a="1"/>
  <c r="O223" i="1" s="1"/>
  <c r="O224" i="1" a="1"/>
  <c r="O224" i="1" s="1"/>
  <c r="O225" i="1" a="1"/>
  <c r="O225" i="1" s="1"/>
  <c r="O226" i="1" a="1"/>
  <c r="O226" i="1" s="1"/>
  <c r="O227" i="1" a="1"/>
  <c r="O227" i="1" s="1"/>
  <c r="O228" i="1" a="1"/>
  <c r="O228" i="1" s="1"/>
  <c r="O229" i="1" a="1"/>
  <c r="O229" i="1" s="1"/>
  <c r="O230" i="1" a="1"/>
  <c r="O230" i="1" s="1"/>
  <c r="O231" i="1" a="1"/>
  <c r="O231" i="1" s="1"/>
  <c r="O232" i="1" a="1"/>
  <c r="O232" i="1" s="1"/>
  <c r="O233" i="1" a="1"/>
  <c r="O233" i="1" s="1"/>
  <c r="O234" i="1" a="1"/>
  <c r="O234" i="1" s="1"/>
  <c r="O235" i="1" a="1"/>
  <c r="O235" i="1" s="1"/>
  <c r="O236" i="1" a="1"/>
  <c r="O236" i="1" s="1"/>
  <c r="O237" i="1" a="1"/>
  <c r="O237" i="1" s="1"/>
  <c r="O238" i="1" a="1"/>
  <c r="O238" i="1" s="1"/>
  <c r="O239" i="1" a="1"/>
  <c r="O239" i="1" s="1"/>
  <c r="O240" i="1" a="1"/>
  <c r="O240" i="1" s="1"/>
  <c r="O241" i="1" a="1"/>
  <c r="O241" i="1" s="1"/>
  <c r="O242" i="1" a="1"/>
  <c r="O242" i="1" s="1"/>
  <c r="O243" i="1" a="1"/>
  <c r="O243" i="1" s="1"/>
  <c r="O244" i="1" a="1"/>
  <c r="O244" i="1" s="1"/>
  <c r="O245" i="1" a="1"/>
  <c r="O245" i="1" s="1"/>
  <c r="O246" i="1" a="1"/>
  <c r="O246" i="1" s="1"/>
  <c r="O247" i="1" a="1"/>
  <c r="O247" i="1" s="1"/>
  <c r="O248" i="1" a="1"/>
  <c r="O248" i="1" s="1"/>
  <c r="O249" i="1" a="1"/>
  <c r="O249" i="1" s="1"/>
  <c r="O250" i="1" a="1"/>
  <c r="O250" i="1" s="1"/>
  <c r="O251" i="1" a="1"/>
  <c r="O251" i="1" s="1"/>
  <c r="O252" i="1" a="1"/>
  <c r="O252" i="1" s="1"/>
  <c r="O253" i="1" a="1"/>
  <c r="O253" i="1" s="1"/>
  <c r="O254" i="1" a="1"/>
  <c r="O254" i="1" s="1"/>
  <c r="O255" i="1" a="1"/>
  <c r="O255" i="1" s="1"/>
  <c r="O256" i="1" a="1"/>
  <c r="O256" i="1" s="1"/>
  <c r="O257" i="1" a="1"/>
  <c r="O257" i="1" s="1"/>
  <c r="O258" i="1" a="1"/>
  <c r="O258" i="1" s="1"/>
  <c r="O259" i="1" a="1"/>
  <c r="O259" i="1" s="1"/>
  <c r="O260" i="1" a="1"/>
  <c r="O260" i="1" s="1"/>
  <c r="O261" i="1" a="1"/>
  <c r="O261" i="1" s="1"/>
  <c r="O262" i="1" a="1"/>
  <c r="O262" i="1" s="1"/>
  <c r="O263" i="1" a="1"/>
  <c r="O263" i="1" s="1"/>
  <c r="O264" i="1" a="1"/>
  <c r="O264" i="1" s="1"/>
  <c r="O265" i="1" a="1"/>
  <c r="O265" i="1" s="1"/>
  <c r="O266" i="1" a="1"/>
  <c r="O266" i="1" s="1"/>
  <c r="O267" i="1" a="1"/>
  <c r="O267" i="1" s="1"/>
  <c r="O268" i="1" a="1"/>
  <c r="O268" i="1" s="1"/>
  <c r="O269" i="1" a="1"/>
  <c r="O269" i="1" s="1"/>
  <c r="O270" i="1" a="1"/>
  <c r="O270" i="1" s="1"/>
  <c r="O271" i="1" a="1"/>
  <c r="O271" i="1" s="1"/>
  <c r="O272" i="1" a="1"/>
  <c r="O272" i="1" s="1"/>
  <c r="O273" i="1" a="1"/>
  <c r="O273" i="1" s="1"/>
  <c r="O274" i="1" a="1"/>
  <c r="O274" i="1" s="1"/>
  <c r="H275" i="1"/>
  <c r="I275" i="1" s="1"/>
  <c r="H16" i="1" s="1"/>
  <c r="T107" i="1" l="1"/>
  <c r="T83" i="1"/>
  <c r="T67" i="1"/>
  <c r="T51" i="1"/>
  <c r="T35" i="1"/>
  <c r="T85" i="1"/>
  <c r="T53" i="1"/>
  <c r="T32" i="1"/>
  <c r="T138" i="1"/>
  <c r="T122" i="1"/>
  <c r="T110" i="1"/>
  <c r="T94" i="1"/>
  <c r="T78" i="1"/>
  <c r="T62" i="1"/>
  <c r="T46" i="1"/>
  <c r="T30" i="1"/>
  <c r="T101" i="1"/>
  <c r="T77" i="1"/>
  <c r="T45" i="1"/>
  <c r="X20" i="1"/>
  <c r="Y20" i="1" s="1"/>
  <c r="T25" i="1"/>
  <c r="T20" i="1"/>
  <c r="T112" i="1"/>
  <c r="T24" i="1"/>
  <c r="T91" i="1"/>
  <c r="T71" i="1"/>
  <c r="T55" i="1"/>
  <c r="T39" i="1"/>
  <c r="T27" i="1"/>
  <c r="T146" i="1"/>
  <c r="T130" i="1"/>
  <c r="T118" i="1"/>
  <c r="T102" i="1"/>
  <c r="T86" i="1"/>
  <c r="T70" i="1"/>
  <c r="T54" i="1"/>
  <c r="T38" i="1"/>
  <c r="T22" i="1"/>
  <c r="H15" i="1"/>
  <c r="J17" i="1" s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AB21" i="1" l="1" a="1"/>
  <c r="AB21" i="1" s="1"/>
  <c r="J16" i="1"/>
  <c r="X21" i="1"/>
  <c r="Y21" i="1" l="1"/>
  <c r="X22" i="1"/>
  <c r="AF21" i="1" l="1" a="1"/>
  <c r="AF21" i="1" s="1"/>
  <c r="AG21" i="1" s="1"/>
  <c r="AD21" i="1" a="1"/>
  <c r="AD21" i="1" s="1"/>
  <c r="AB22" i="1" a="1"/>
  <c r="AB22" i="1" s="1"/>
  <c r="AC21" i="1" a="1"/>
  <c r="AC21" i="1" s="1"/>
  <c r="X23" i="1"/>
  <c r="Y22" i="1"/>
  <c r="AF22" i="1" l="1" a="1"/>
  <c r="AF22" i="1" s="1"/>
  <c r="AG22" i="1" s="1"/>
  <c r="AD22" i="1" a="1"/>
  <c r="AD22" i="1" s="1"/>
  <c r="AC22" i="1" a="1"/>
  <c r="AC22" i="1" s="1"/>
  <c r="AE21" i="1" a="1"/>
  <c r="AE21" i="1" s="1"/>
  <c r="AB23" i="1" a="1"/>
  <c r="AB23" i="1" s="1"/>
  <c r="Y23" i="1"/>
  <c r="X24" i="1"/>
  <c r="AF23" i="1" l="1" a="1"/>
  <c r="AF23" i="1" s="1"/>
  <c r="AG23" i="1" s="1"/>
  <c r="AC23" i="1" a="1"/>
  <c r="AC23" i="1" s="1"/>
  <c r="AE22" i="1" a="1"/>
  <c r="AE22" i="1" s="1"/>
  <c r="AD23" i="1" a="1"/>
  <c r="AD23" i="1" s="1"/>
  <c r="AB24" i="1" a="1"/>
  <c r="AB24" i="1" s="1"/>
  <c r="Y24" i="1"/>
  <c r="X25" i="1"/>
  <c r="AC24" i="1" l="1" a="1"/>
  <c r="AC24" i="1" s="1"/>
  <c r="AE23" i="1" a="1"/>
  <c r="AE23" i="1" s="1"/>
  <c r="AD24" i="1" a="1"/>
  <c r="AD24" i="1" s="1"/>
  <c r="AB25" i="1" a="1"/>
  <c r="AB25" i="1" s="1"/>
  <c r="X26" i="1"/>
  <c r="Y25" i="1"/>
  <c r="AF24" i="1" l="1" a="1"/>
  <c r="AF24" i="1" s="1"/>
  <c r="AG24" i="1" s="1"/>
  <c r="AF25" i="1" a="1"/>
  <c r="AF25" i="1" s="1"/>
  <c r="AG25" i="1" s="1"/>
  <c r="AE24" i="1" a="1"/>
  <c r="AE24" i="1" s="1"/>
  <c r="AD25" i="1" a="1"/>
  <c r="AD25" i="1" s="1"/>
  <c r="AB26" i="1" a="1"/>
  <c r="AB26" i="1" s="1"/>
  <c r="AC25" i="1" a="1"/>
  <c r="AC25" i="1" s="1"/>
  <c r="X27" i="1"/>
  <c r="Y26" i="1"/>
  <c r="AF26" i="1" l="1" a="1"/>
  <c r="AF26" i="1" s="1"/>
  <c r="AG26" i="1" s="1"/>
  <c r="AD26" i="1" a="1"/>
  <c r="AD26" i="1" s="1"/>
  <c r="AB27" i="1" a="1"/>
  <c r="AB27" i="1" s="1"/>
  <c r="AC26" i="1" a="1"/>
  <c r="AC26" i="1" s="1"/>
  <c r="AE25" i="1" a="1"/>
  <c r="AE25" i="1" s="1"/>
  <c r="Y27" i="1"/>
  <c r="X28" i="1"/>
  <c r="AF27" i="1" l="1" a="1"/>
  <c r="AF27" i="1" s="1"/>
  <c r="AG27" i="1" s="1"/>
  <c r="AC27" i="1" a="1"/>
  <c r="AC27" i="1" s="1"/>
  <c r="AE26" i="1" a="1"/>
  <c r="AE26" i="1" s="1"/>
  <c r="AD27" i="1" a="1"/>
  <c r="AD27" i="1" s="1"/>
  <c r="AB28" i="1" a="1"/>
  <c r="AB28" i="1" s="1"/>
  <c r="Y28" i="1"/>
  <c r="X29" i="1"/>
  <c r="AF28" i="1" l="1" a="1"/>
  <c r="AF28" i="1" s="1"/>
  <c r="AG28" i="1" s="1"/>
  <c r="AC28" i="1" a="1"/>
  <c r="AC28" i="1" s="1"/>
  <c r="AE27" i="1" a="1"/>
  <c r="AE27" i="1" s="1"/>
  <c r="AD28" i="1" a="1"/>
  <c r="AD28" i="1" s="1"/>
  <c r="AB29" i="1" a="1"/>
  <c r="AB29" i="1" s="1"/>
  <c r="X30" i="1"/>
  <c r="Y29" i="1"/>
  <c r="AE28" i="1" l="1" a="1"/>
  <c r="AE28" i="1" s="1"/>
  <c r="AD29" i="1" a="1"/>
  <c r="AD29" i="1" s="1"/>
  <c r="AB30" i="1" a="1"/>
  <c r="AB30" i="1" s="1"/>
  <c r="AC29" i="1" a="1"/>
  <c r="AC29" i="1" s="1"/>
  <c r="X31" i="1"/>
  <c r="Y30" i="1"/>
  <c r="AF29" i="1" l="1" a="1"/>
  <c r="AF29" i="1" s="1"/>
  <c r="AG29" i="1" s="1"/>
  <c r="AD30" i="1" a="1"/>
  <c r="AD30" i="1" s="1"/>
  <c r="AC30" i="1" a="1"/>
  <c r="AC30" i="1" s="1"/>
  <c r="AE29" i="1" a="1"/>
  <c r="AE29" i="1" s="1"/>
  <c r="AB31" i="1" a="1"/>
  <c r="AB31" i="1" s="1"/>
  <c r="Y31" i="1"/>
  <c r="X32" i="1"/>
  <c r="AF30" i="1" l="1" a="1"/>
  <c r="AF30" i="1" s="1"/>
  <c r="AG30" i="1" s="1"/>
  <c r="AC31" i="1" a="1"/>
  <c r="AC31" i="1" s="1"/>
  <c r="AE30" i="1" a="1"/>
  <c r="AE30" i="1" s="1"/>
  <c r="AD31" i="1" a="1"/>
  <c r="AD31" i="1" s="1"/>
  <c r="AB32" i="1" a="1"/>
  <c r="AB32" i="1" s="1"/>
  <c r="Y32" i="1"/>
  <c r="X33" i="1"/>
  <c r="AF31" i="1" l="1" a="1"/>
  <c r="AF31" i="1" s="1"/>
  <c r="AG31" i="1" s="1"/>
  <c r="AC32" i="1" a="1"/>
  <c r="AC32" i="1" s="1"/>
  <c r="AE31" i="1" a="1"/>
  <c r="AE31" i="1" s="1"/>
  <c r="AD32" i="1" a="1"/>
  <c r="AD32" i="1" s="1"/>
  <c r="AB33" i="1" a="1"/>
  <c r="AB33" i="1" s="1"/>
  <c r="X34" i="1"/>
  <c r="Y33" i="1"/>
  <c r="AF32" i="1" s="1" a="1"/>
  <c r="AF32" i="1" s="1"/>
  <c r="AG32" i="1" s="1"/>
  <c r="AF33" i="1" l="1" a="1"/>
  <c r="AF33" i="1" s="1"/>
  <c r="AG33" i="1" s="1"/>
  <c r="AE32" i="1" a="1"/>
  <c r="AE32" i="1" s="1"/>
  <c r="AD33" i="1" a="1"/>
  <c r="AD33" i="1" s="1"/>
  <c r="AB34" i="1" a="1"/>
  <c r="AB34" i="1" s="1"/>
  <c r="AC33" i="1" a="1"/>
  <c r="AC33" i="1" s="1"/>
  <c r="X35" i="1"/>
  <c r="Y34" i="1"/>
  <c r="AF34" i="1" l="1" a="1"/>
  <c r="AF34" i="1" s="1"/>
  <c r="AG34" i="1" s="1"/>
  <c r="AD34" i="1" a="1"/>
  <c r="AD34" i="1" s="1"/>
  <c r="AC34" i="1" a="1"/>
  <c r="AC34" i="1" s="1"/>
  <c r="AE33" i="1" a="1"/>
  <c r="AE33" i="1" s="1"/>
  <c r="AB35" i="1" a="1"/>
  <c r="AB35" i="1" s="1"/>
  <c r="Y35" i="1"/>
  <c r="X36" i="1"/>
  <c r="AF35" i="1" l="1" a="1"/>
  <c r="AF35" i="1" s="1"/>
  <c r="AG35" i="1" s="1"/>
  <c r="AC35" i="1" a="1"/>
  <c r="AC35" i="1" s="1"/>
  <c r="AE34" i="1" a="1"/>
  <c r="AE34" i="1" s="1"/>
  <c r="AD35" i="1" a="1"/>
  <c r="AD35" i="1" s="1"/>
  <c r="AB36" i="1" a="1"/>
  <c r="AB36" i="1" s="1"/>
  <c r="Y36" i="1"/>
  <c r="X37" i="1"/>
  <c r="AF36" i="1" l="1" a="1"/>
  <c r="AF36" i="1" s="1"/>
  <c r="AG36" i="1" s="1"/>
  <c r="AC36" i="1" a="1"/>
  <c r="AC36" i="1" s="1"/>
  <c r="AE35" i="1" a="1"/>
  <c r="AE35" i="1" s="1"/>
  <c r="AD36" i="1" a="1"/>
  <c r="AD36" i="1" s="1"/>
  <c r="AB37" i="1" a="1"/>
  <c r="AB37" i="1" s="1"/>
  <c r="Y37" i="1"/>
  <c r="X38" i="1"/>
  <c r="AF37" i="1" l="1" a="1"/>
  <c r="AF37" i="1" s="1"/>
  <c r="AG37" i="1" s="1"/>
  <c r="AE36" i="1" a="1"/>
  <c r="AE36" i="1" s="1"/>
  <c r="AD37" i="1" a="1"/>
  <c r="AD37" i="1" s="1"/>
  <c r="AB38" i="1" a="1"/>
  <c r="AB38" i="1" s="1"/>
  <c r="AC37" i="1" a="1"/>
  <c r="AC37" i="1" s="1"/>
  <c r="X39" i="1"/>
  <c r="X40" i="1" s="1"/>
  <c r="Y38" i="1"/>
  <c r="AB39" i="1" l="1" a="1"/>
  <c r="AB39" i="1" s="1"/>
  <c r="Y40" i="1"/>
  <c r="X41" i="1"/>
  <c r="Y41" i="1" s="1"/>
  <c r="AE40" i="1" s="1" a="1"/>
  <c r="AE40" i="1" s="1"/>
  <c r="AF38" i="1" a="1"/>
  <c r="AF38" i="1" s="1"/>
  <c r="AG38" i="1" s="1"/>
  <c r="AD38" i="1" a="1"/>
  <c r="AD38" i="1" s="1"/>
  <c r="AC38" i="1" a="1"/>
  <c r="AC38" i="1" s="1"/>
  <c r="AE37" i="1" a="1"/>
  <c r="AE37" i="1" s="1"/>
  <c r="Y39" i="1"/>
  <c r="AE38" i="1" l="1" a="1"/>
  <c r="AE38" i="1" s="1"/>
  <c r="AF40" i="1" a="1"/>
  <c r="AF40" i="1" s="1"/>
  <c r="AG40" i="1" s="1"/>
  <c r="AB40" i="1" a="1"/>
  <c r="AB40" i="1" s="1"/>
  <c r="AC39" i="1" a="1"/>
  <c r="AC39" i="1" s="1"/>
  <c r="AD39" i="1" a="1"/>
  <c r="AD39" i="1" s="1"/>
  <c r="AC40" i="1" a="1"/>
  <c r="AC40" i="1" s="1"/>
  <c r="AD40" i="1" a="1"/>
  <c r="AD40" i="1" s="1"/>
  <c r="AE39" i="1" a="1"/>
  <c r="AE39" i="1" s="1"/>
  <c r="AF39" i="1" a="1"/>
  <c r="AF39" i="1" s="1"/>
  <c r="AG39" i="1" l="1"/>
  <c r="AN40" i="1"/>
  <c r="AN39" i="1"/>
  <c r="AK40" i="1" l="1" a="1"/>
  <c r="AK40" i="1" s="1"/>
  <c r="AK27" i="1" a="1"/>
  <c r="AK27" i="1" s="1"/>
  <c r="AN27" i="1" s="1"/>
  <c r="AK32" i="1" a="1"/>
  <c r="AK32" i="1" s="1"/>
  <c r="AN32" i="1" s="1"/>
  <c r="AK25" i="1" a="1"/>
  <c r="AK25" i="1" s="1"/>
  <c r="AN25" i="1" s="1"/>
  <c r="AK23" i="1" a="1"/>
  <c r="AK23" i="1" s="1"/>
  <c r="AN23" i="1" s="1"/>
  <c r="AK28" i="1" a="1"/>
  <c r="AK28" i="1" s="1"/>
  <c r="AN28" i="1" s="1"/>
  <c r="AK38" i="1" a="1"/>
  <c r="AK38" i="1" s="1"/>
  <c r="AK34" i="1" a="1"/>
  <c r="AK34" i="1" s="1"/>
  <c r="AK24" i="1" a="1"/>
  <c r="AK24" i="1" s="1"/>
  <c r="AN24" i="1" s="1"/>
  <c r="AK22" i="1" a="1"/>
  <c r="AK22" i="1" s="1"/>
  <c r="AN22" i="1" s="1"/>
  <c r="AK30" i="1" a="1"/>
  <c r="AK30" i="1" s="1"/>
  <c r="AN30" i="1" s="1"/>
  <c r="AK39" i="1" a="1"/>
  <c r="AK39" i="1" s="1"/>
  <c r="AK33" i="1" a="1"/>
  <c r="AK33" i="1" s="1"/>
  <c r="AN33" i="1" s="1"/>
  <c r="AK26" i="1" a="1"/>
  <c r="AK26" i="1" s="1"/>
  <c r="AN26" i="1" s="1"/>
  <c r="AK35" i="1" a="1"/>
  <c r="AK35" i="1" s="1"/>
  <c r="AK21" i="1" a="1"/>
  <c r="AK21" i="1" s="1"/>
  <c r="AN21" i="1" s="1"/>
  <c r="AK37" i="1" a="1"/>
  <c r="AK37" i="1" s="1"/>
  <c r="AK31" i="1" a="1"/>
  <c r="AK31" i="1" s="1"/>
  <c r="AN31" i="1" s="1"/>
  <c r="AK36" i="1" a="1"/>
  <c r="AK36" i="1" s="1"/>
  <c r="AK29" i="1" a="1"/>
  <c r="AK29" i="1" s="1"/>
  <c r="AN29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<sst xmlns="http://schemas.openxmlformats.org/spreadsheetml/2006/main" count="65" uniqueCount="59">
  <si>
    <t>time [ms]</t>
  </si>
  <si>
    <t>x*y</t>
  </si>
  <si>
    <t>Zero crossings</t>
  </si>
  <si>
    <t>∑ x =</t>
  </si>
  <si>
    <t>∑ y =</t>
  </si>
  <si>
    <t>∑ xy =</t>
  </si>
  <si>
    <t>n =</t>
  </si>
  <si>
    <t>b =</t>
  </si>
  <si>
    <t>MFCC</t>
  </si>
  <si>
    <t>Real</t>
  </si>
  <si>
    <t>Imaginary</t>
  </si>
  <si>
    <t>Distinct coeficients:</t>
  </si>
  <si>
    <t>Frequency [Hz]</t>
  </si>
  <si>
    <t>Frequency [mel]</t>
  </si>
  <si>
    <r>
      <t xml:space="preserve">point, </t>
    </r>
    <r>
      <rPr>
        <b/>
        <sz val="11"/>
        <color theme="1"/>
        <rFont val="Calibri"/>
        <family val="2"/>
        <charset val="238"/>
        <scheme val="minor"/>
      </rPr>
      <t>N =</t>
    </r>
  </si>
  <si>
    <r>
      <t xml:space="preserve">n, </t>
    </r>
    <r>
      <rPr>
        <b/>
        <sz val="11"/>
        <color theme="1"/>
        <rFont val="Calibri"/>
        <family val="2"/>
        <charset val="238"/>
        <scheme val="minor"/>
      </rPr>
      <t>N =</t>
    </r>
  </si>
  <si>
    <r>
      <t xml:space="preserve">n, k, </t>
    </r>
    <r>
      <rPr>
        <b/>
        <sz val="11"/>
        <color theme="1"/>
        <rFont val="Calibri"/>
        <family val="2"/>
        <charset val="238"/>
        <scheme val="minor"/>
      </rPr>
      <t>N =</t>
    </r>
  </si>
  <si>
    <t>Mel filters:</t>
  </si>
  <si>
    <r>
      <t xml:space="preserve">filter, </t>
    </r>
    <r>
      <rPr>
        <b/>
        <sz val="11"/>
        <color theme="1"/>
        <rFont val="Calibri"/>
        <family val="2"/>
        <charset val="238"/>
        <scheme val="minor"/>
      </rPr>
      <t>N =</t>
    </r>
  </si>
  <si>
    <t>Filter value</t>
  </si>
  <si>
    <t>DFT input (x)</t>
  </si>
  <si>
    <t>DFT output (X)</t>
  </si>
  <si>
    <t>Signal magnitude</t>
  </si>
  <si>
    <t>{382,310,172,107,141,285,439,423,206,-40,-121,45,221,166,-7,-64,50,119,99,123,226,321,278,77,-123,-154,-60,-27,-67,-49,33,64,-58,-240,-304,-290,-249,-195,-157,-187,-277,-281,-129,1,35,104,245,349,351,270,178,135,127,137,192,288,360,317,206,118,54,-28,-134,-204,-215,-231,-272,-322,-300,-207,-128,-134,-200,-244,-247,-224,-186,-124,-16,98,167,202,230,281,334,365,376,371,362,348,306,244,200,180,164,156,151,114,13,-139,-284,-352,-338,-295,-246,-206,-167,-132,-125,-130,-110,-68,-10,42,44,-4,-46,-22,57,125,151,147,131,106,68,28,5,5,17,10,-27,-87,-131,-128,-69,-9,9,-15,-73,-112,-115,-89,-61,-49,-39,-10,23,45,42,15,-9,-23,-31,-41,-63,-72,-56,-39,-41,-53,-60,-55,-59,-59,-27,37,98,130,132,128,121,103,78,61,55,67,86,81,50,12,-7,-14,-28,-48,-75,-121,-167,-195,-189,-167,-139,-125,-126,-104,-65,-46,-60,-72,-51,12,67,94,103,110,111,88,45,-9,-57,-83,-82,-67,-56,-52,-71,-102,-92,-44,-3,-8,-48,-70,-34,28,64,71,71,85,97,82,56,34,32,42,69,98,107,87,44,4,-19,-12,23,39,17,-19,-63,-97,-112,-109,-118,-124,-96,-40,-2,4}</t>
  </si>
  <si>
    <r>
      <t xml:space="preserve">This file is part of Clap Recognition Using a Neural Network from Scratch (C++ for Arduino): </t>
    </r>
    <r>
      <rPr>
        <sz val="11"/>
        <color rgb="FF0070C0"/>
        <rFont val="Calibri"/>
        <family val="2"/>
        <charset val="238"/>
        <scheme val="minor"/>
      </rPr>
      <t>https://github.com/BojanJurca/Neural-Network-from-Scratch-for-Arduino-A-Clap-Recognition-System</t>
    </r>
  </si>
  <si>
    <t>Discrete Fourier transform</t>
  </si>
  <si>
    <t>Signal voltage</t>
  </si>
  <si>
    <r>
      <rPr>
        <sz val="8"/>
        <color theme="1"/>
        <rFont val="Calibri"/>
        <family val="2"/>
        <charset val="238"/>
        <scheme val="minor"/>
      </rPr>
      <t>sample,</t>
    </r>
    <r>
      <rPr>
        <sz val="11"/>
        <color theme="1"/>
        <rFont val="Calibri"/>
        <family val="2"/>
        <charset val="238"/>
        <scheme val="minor"/>
      </rPr>
      <t xml:space="preserve"> </t>
    </r>
    <r>
      <rPr>
        <b/>
        <sz val="11"/>
        <color theme="1"/>
        <rFont val="Calibri"/>
        <family val="2"/>
        <charset val="238"/>
        <scheme val="minor"/>
      </rPr>
      <t>N =</t>
    </r>
  </si>
  <si>
    <t>Signal power</t>
  </si>
  <si>
    <t>Feature [0]</t>
  </si>
  <si>
    <t>x = sample</t>
  </si>
  <si>
    <t>y = log power</t>
  </si>
  <si>
    <r>
      <t>x</t>
    </r>
    <r>
      <rPr>
        <vertAlign val="superscript"/>
        <sz val="11"/>
        <color theme="1"/>
        <rFont val="Calibri"/>
        <family val="2"/>
        <charset val="238"/>
        <scheme val="minor"/>
      </rPr>
      <t>2</t>
    </r>
  </si>
  <si>
    <r>
      <t>∑ x</t>
    </r>
    <r>
      <rPr>
        <vertAlign val="superscript"/>
        <sz val="8"/>
        <color theme="1"/>
        <rFont val="Calibri"/>
        <family val="2"/>
        <charset val="238"/>
        <scheme val="minor"/>
      </rPr>
      <t>2</t>
    </r>
    <r>
      <rPr>
        <sz val="8"/>
        <color theme="1"/>
        <rFont val="Calibri"/>
        <family val="2"/>
        <charset val="238"/>
        <scheme val="minor"/>
      </rPr>
      <t xml:space="preserve"> =</t>
    </r>
  </si>
  <si>
    <t>Feature [1]</t>
  </si>
  <si>
    <t>LR coefficient a</t>
  </si>
  <si>
    <t>a =</t>
  </si>
  <si>
    <t>ZCR =</t>
  </si>
  <si>
    <t>Sampling freq. [Hz]:</t>
  </si>
  <si>
    <t>Nyquist freq. [Hz]:</t>
  </si>
  <si>
    <t>Mel points</t>
  </si>
  <si>
    <t>Mel filters</t>
  </si>
  <si>
    <t>log filter value</t>
  </si>
  <si>
    <t>Signal</t>
  </si>
  <si>
    <r>
      <t>Linear regresion (log power):</t>
    </r>
    <r>
      <rPr>
        <sz val="14"/>
        <color theme="8" tint="-0.249977111117893"/>
        <rFont val="Calibri"/>
        <family val="2"/>
        <charset val="238"/>
        <scheme val="minor"/>
      </rPr>
      <t xml:space="preserve"> y=a*x+b</t>
    </r>
  </si>
  <si>
    <t>Magnitude</t>
  </si>
  <si>
    <t>from</t>
  </si>
  <si>
    <t>to</t>
  </si>
  <si>
    <t>which includes DFT coeficients</t>
  </si>
  <si>
    <t>first slope ↗</t>
  </si>
  <si>
    <t>second slope ↘</t>
  </si>
  <si>
    <t>Mel filters cepstral coefficients</t>
  </si>
  <si>
    <t>Discrete cosine transform</t>
  </si>
  <si>
    <r>
      <rPr>
        <sz val="8"/>
        <color theme="9"/>
        <rFont val="Calibri"/>
        <family val="2"/>
        <charset val="238"/>
        <scheme val="minor"/>
      </rPr>
      <t>// C++: Discrete cosine transform (DCT-II with scaling)</t>
    </r>
    <r>
      <rPr>
        <sz val="8"/>
        <color theme="1"/>
        <rFont val="Calibri"/>
        <family val="2"/>
        <charset val="238"/>
        <scheme val="minor"/>
      </rPr>
      <t xml:space="preserve">
vector&lt;double&gt; dct (const vector&lt;double&gt;&amp; input) {
    int N = input.size ();
    vector&lt;double&gt; result (N);
    for (int k = 0; k &lt; N; k ++) {
        double sum = 0.0;
        for (int n = 0; n &lt; N; n ++)
            sum += input [n] * cos (PI * k * (2 * n + 1) / (2.0 * N));
       result [k] = sum * sqrt (2.0 / N);
        if (k == 0)
            result [k] *= 1.0 / sqrt (2); </t>
    </r>
    <r>
      <rPr>
        <sz val="8"/>
        <color theme="9"/>
        <rFont val="Calibri"/>
        <family val="2"/>
        <charset val="238"/>
        <scheme val="minor"/>
      </rPr>
      <t>// scaling</t>
    </r>
    <r>
      <rPr>
        <sz val="8"/>
        <color theme="1"/>
        <rFont val="Calibri"/>
        <family val="2"/>
        <charset val="238"/>
        <scheme val="minor"/>
      </rPr>
      <t xml:space="preserve">
    }
    return result;
}</t>
    </r>
  </si>
  <si>
    <r>
      <t xml:space="preserve">k, n, </t>
    </r>
    <r>
      <rPr>
        <b/>
        <sz val="11"/>
        <color theme="1"/>
        <rFont val="Calibri"/>
        <family val="2"/>
        <charset val="238"/>
        <scheme val="minor"/>
      </rPr>
      <t>N =</t>
    </r>
  </si>
  <si>
    <t>DCT II with scaling</t>
  </si>
  <si>
    <t>Paste the signal in a form of C++ initializer list (this is what the sampling progeam outputs to the console) here. 
→→→→→→→→→→→→→→→→→→→→→</t>
  </si>
  <si>
    <t>Coefficients:</t>
  </si>
  <si>
    <t>Feature [2...]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</si>
</sst>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"/>
    <numFmt numFmtId="165" formatCode="0.000"/>
  </numFmts>
  <fonts count="14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8"/>
      <color theme="1"/>
      <name val="Calibri"/>
      <family val="2"/>
      <charset val="238"/>
      <scheme val="minor"/>
    </font>
    <font>
      <sz val="11"/>
      <color theme="0" tint="-0.499984740745262"/>
      <name val="Calibri"/>
      <family val="2"/>
      <charset val="238"/>
      <scheme val="minor"/>
    </font>
    <font>
      <sz val="8"/>
      <color theme="0" tint="-0.499984740745262"/>
      <name val="Calibri"/>
      <family val="2"/>
      <charset val="238"/>
      <scheme val="minor"/>
    </font>
    <font>
      <sz val="11"/>
      <color rgb="FF0070C0"/>
      <name val="Calibri"/>
      <family val="2"/>
      <charset val="238"/>
      <scheme val="minor"/>
    </font>
    <font>
      <b/>
      <sz val="14"/>
      <color theme="8" tint="-0.249977111117893"/>
      <name val="Calibri"/>
      <family val="2"/>
      <charset val="238"/>
      <scheme val="minor"/>
    </font>
    <font>
      <vertAlign val="superscript"/>
      <sz val="11"/>
      <color theme="1"/>
      <name val="Calibri"/>
      <family val="2"/>
      <charset val="238"/>
      <scheme val="minor"/>
    </font>
    <font>
      <vertAlign val="superscript"/>
      <sz val="8"/>
      <color theme="1"/>
      <name val="Calibri"/>
      <family val="2"/>
      <charset val="238"/>
      <scheme val="minor"/>
    </font>
    <font>
      <b/>
      <sz val="14"/>
      <color theme="9" tint="-0.249977111117893"/>
      <name val="Calibri"/>
      <family val="2"/>
      <charset val="238"/>
      <scheme val="minor"/>
    </font>
    <font>
      <sz val="14"/>
      <color theme="8" tint="-0.249977111117893"/>
      <name val="Calibri"/>
      <family val="2"/>
      <charset val="238"/>
      <scheme val="minor"/>
    </font>
    <font>
      <b/>
      <sz val="14"/>
      <color theme="5" tint="-0.249977111117893"/>
      <name val="Calibri"/>
      <family val="2"/>
      <charset val="238"/>
      <scheme val="minor"/>
    </font>
    <font>
      <sz val="8"/>
      <color theme="9"/>
      <name val="Calibri"/>
      <family val="2"/>
      <charset val="238"/>
      <scheme val="minor"/>
    </font>
    <font>
      <b/>
      <sz val="14"/>
      <color theme="7" tint="-0.249977111117893"/>
      <name val="Calibri"/>
      <family val="2"/>
      <charset val="238"/>
      <scheme val="minor"/>
    </font>
  </fonts>
  <fills count="9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39997558519241921"/>
        <bgColor indexed="64"/>
      </patternFill>
    </fill>
  </fills>
  <borders count="7">
    <border>
      <left/>
      <right/>
      <top/>
      <bottom/>
      <diagonal/>
    </border>
    <border>
      <left style="thin">
        <color theme="8" tint="-0.249977111117893"/>
      </left>
      <right/>
      <top/>
      <bottom/>
      <diagonal/>
    </border>
    <border>
      <left/>
      <right style="thin">
        <color theme="8" tint="-0.249977111117893"/>
      </right>
      <top/>
      <bottom/>
      <diagonal/>
    </border>
    <border>
      <left style="thin">
        <color theme="8" tint="-0.249977111117893"/>
      </left>
      <right style="thin">
        <color theme="8" tint="-0.249977111117893"/>
      </right>
      <top/>
      <bottom/>
      <diagonal/>
    </border>
    <border>
      <left style="thin">
        <color theme="9" tint="-0.249977111117893"/>
      </left>
      <right/>
      <top/>
      <bottom/>
      <diagonal/>
    </border>
    <border>
      <left/>
      <right style="thin">
        <color theme="9" tint="-0.249977111117893"/>
      </right>
      <top/>
      <bottom/>
      <diagonal/>
    </border>
    <border>
      <left style="thin">
        <color theme="9" tint="-0.249977111117893"/>
      </left>
      <right style="thin">
        <color theme="9" tint="-0.249977111117893"/>
      </right>
      <top/>
      <bottom/>
      <diagonal/>
    </border>
  </borders>
  <cellStyleXfs count="1">
    <xf numFmtId="0" fontId="0" fillId="0" borderId="0"/>
  </cellStyleXfs>
  <cellXfs count="91">
    <xf numFmtId="0" fontId="0" fillId="0" borderId="0" xfId="0"/>
    <xf numFmtId="0" fontId="0" fillId="2" borderId="0" xfId="0" applyFill="1"/>
    <xf numFmtId="0" fontId="2" fillId="0" borderId="0" xfId="0" applyFont="1"/>
    <xf numFmtId="0" fontId="1" fillId="0" borderId="0" xfId="0" applyFont="1"/>
    <xf numFmtId="0" fontId="0" fillId="3" borderId="0" xfId="0" applyFill="1"/>
    <xf numFmtId="1" fontId="0" fillId="0" borderId="0" xfId="0" applyNumberFormat="1"/>
    <xf numFmtId="1" fontId="1" fillId="0" borderId="0" xfId="0" applyNumberFormat="1" applyFont="1"/>
    <xf numFmtId="0" fontId="0" fillId="0" borderId="0" xfId="0" applyAlignment="1">
      <alignment horizontal="left" wrapText="1"/>
    </xf>
    <xf numFmtId="0" fontId="0" fillId="0" borderId="0" xfId="0" applyAlignment="1">
      <alignment horizontal="right" wrapText="1"/>
    </xf>
    <xf numFmtId="3" fontId="3" fillId="0" borderId="0" xfId="0" applyNumberFormat="1" applyFont="1" applyAlignment="1">
      <alignment horizontal="right" wrapText="1"/>
    </xf>
    <xf numFmtId="4" fontId="1" fillId="0" borderId="0" xfId="0" applyNumberFormat="1" applyFont="1"/>
    <xf numFmtId="4" fontId="0" fillId="0" borderId="0" xfId="0" applyNumberFormat="1"/>
    <xf numFmtId="0" fontId="3" fillId="0" borderId="0" xfId="0" applyFont="1"/>
    <xf numFmtId="0" fontId="0" fillId="0" borderId="0" xfId="0" applyAlignment="1">
      <alignment horizontal="right"/>
    </xf>
    <xf numFmtId="0" fontId="4" fillId="0" borderId="0" xfId="0" applyFont="1"/>
    <xf numFmtId="3" fontId="0" fillId="0" borderId="0" xfId="0" applyNumberFormat="1"/>
    <xf numFmtId="0" fontId="1" fillId="3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4" fontId="0" fillId="0" borderId="1" xfId="0" applyNumberFormat="1" applyBorder="1"/>
    <xf numFmtId="0" fontId="1" fillId="5" borderId="0" xfId="0" applyFont="1" applyFill="1" applyAlignment="1">
      <alignment horizontal="center"/>
    </xf>
    <xf numFmtId="4" fontId="0" fillId="0" borderId="2" xfId="0" applyNumberFormat="1" applyBorder="1"/>
    <xf numFmtId="0" fontId="2" fillId="6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0" fillId="6" borderId="1" xfId="0" applyFill="1" applyBorder="1"/>
    <xf numFmtId="0" fontId="0" fillId="6" borderId="2" xfId="0" applyFill="1" applyBorder="1"/>
    <xf numFmtId="0" fontId="0" fillId="6" borderId="1" xfId="0" applyFill="1" applyBorder="1" applyAlignment="1">
      <alignment horizontal="left"/>
    </xf>
    <xf numFmtId="0" fontId="0" fillId="6" borderId="2" xfId="0" applyFill="1" applyBorder="1" applyAlignment="1">
      <alignment horizontal="left"/>
    </xf>
    <xf numFmtId="4" fontId="0" fillId="0" borderId="0" xfId="0" applyNumberFormat="1" applyAlignment="1">
      <alignment horizontal="right"/>
    </xf>
    <xf numFmtId="4" fontId="0" fillId="0" borderId="3" xfId="0" applyNumberFormat="1" applyBorder="1"/>
    <xf numFmtId="4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 wrapText="1"/>
    </xf>
    <xf numFmtId="0" fontId="2" fillId="3" borderId="0" xfId="0" applyFont="1" applyFill="1"/>
    <xf numFmtId="4" fontId="3" fillId="0" borderId="4" xfId="0" applyNumberFormat="1" applyFont="1" applyBorder="1"/>
    <xf numFmtId="4" fontId="0" fillId="0" borderId="4" xfId="0" applyNumberFormat="1" applyBorder="1"/>
    <xf numFmtId="4" fontId="3" fillId="0" borderId="6" xfId="0" applyNumberFormat="1" applyFont="1" applyBorder="1"/>
    <xf numFmtId="4" fontId="0" fillId="0" borderId="6" xfId="0" applyNumberFormat="1" applyBorder="1"/>
    <xf numFmtId="0" fontId="2" fillId="0" borderId="4" xfId="0" applyFont="1" applyBorder="1"/>
    <xf numFmtId="0" fontId="2" fillId="0" borderId="0" xfId="0" applyFont="1" applyAlignment="1">
      <alignment horizontal="left"/>
    </xf>
    <xf numFmtId="0" fontId="2" fillId="0" borderId="5" xfId="0" applyFont="1" applyBorder="1" applyAlignment="1">
      <alignment horizontal="left"/>
    </xf>
    <xf numFmtId="0" fontId="3" fillId="0" borderId="0" xfId="0" applyFont="1" applyAlignment="1">
      <alignment horizontal="left" vertical="top" wrapText="1"/>
    </xf>
    <xf numFmtId="0" fontId="1" fillId="2" borderId="0" xfId="0" applyFont="1" applyFill="1" applyAlignment="1">
      <alignment horizontal="center"/>
    </xf>
    <xf numFmtId="0" fontId="6" fillId="0" borderId="0" xfId="0" applyFont="1" applyAlignment="1">
      <alignment horizontal="center" vertical="center" wrapText="1"/>
    </xf>
    <xf numFmtId="1" fontId="1" fillId="8" borderId="0" xfId="0" applyNumberFormat="1" applyFont="1" applyFill="1"/>
    <xf numFmtId="0" fontId="1" fillId="8" borderId="0" xfId="0" applyFont="1" applyFill="1" applyAlignment="1">
      <alignment horizontal="center"/>
    </xf>
    <xf numFmtId="1" fontId="1" fillId="8" borderId="0" xfId="0" applyNumberFormat="1" applyFont="1" applyFill="1" applyAlignment="1">
      <alignment horizontal="center"/>
    </xf>
    <xf numFmtId="4" fontId="2" fillId="0" borderId="0" xfId="0" applyNumberFormat="1" applyFont="1"/>
    <xf numFmtId="3" fontId="2" fillId="0" borderId="0" xfId="0" applyNumberFormat="1" applyFont="1"/>
    <xf numFmtId="0" fontId="1" fillId="8" borderId="0" xfId="0" applyFont="1" applyFill="1"/>
    <xf numFmtId="0" fontId="0" fillId="8" borderId="0" xfId="0" applyFill="1"/>
    <xf numFmtId="4" fontId="1" fillId="8" borderId="0" xfId="0" applyNumberFormat="1" applyFont="1" applyFill="1"/>
    <xf numFmtId="3" fontId="1" fillId="0" borderId="0" xfId="0" applyNumberFormat="1" applyFont="1" applyAlignment="1">
      <alignment horizontal="right" wrapText="1"/>
    </xf>
    <xf numFmtId="0" fontId="0" fillId="0" borderId="0" xfId="0" applyAlignment="1">
      <alignment horizontal="left"/>
    </xf>
    <xf numFmtId="4" fontId="0" fillId="0" borderId="0" xfId="0" applyNumberFormat="1" applyBorder="1"/>
    <xf numFmtId="4" fontId="3" fillId="0" borderId="0" xfId="0" applyNumberFormat="1" applyFont="1" applyBorder="1"/>
    <xf numFmtId="3" fontId="0" fillId="0" borderId="3" xfId="0" applyNumberFormat="1" applyBorder="1"/>
    <xf numFmtId="0" fontId="9" fillId="0" borderId="0" xfId="0" applyFont="1" applyAlignment="1">
      <alignment horizontal="center" vertical="center" wrapText="1"/>
    </xf>
    <xf numFmtId="0" fontId="2" fillId="0" borderId="6" xfId="0" applyFont="1" applyBorder="1"/>
    <xf numFmtId="0" fontId="2" fillId="7" borderId="6" xfId="0" applyFont="1" applyFill="1" applyBorder="1"/>
    <xf numFmtId="0" fontId="1" fillId="7" borderId="6" xfId="0" applyFont="1" applyFill="1" applyBorder="1" applyAlignment="1">
      <alignment horizontal="center"/>
    </xf>
    <xf numFmtId="0" fontId="4" fillId="0" borderId="6" xfId="0" applyFont="1" applyBorder="1"/>
    <xf numFmtId="0" fontId="3" fillId="3" borderId="0" xfId="0" applyFont="1" applyFill="1"/>
    <xf numFmtId="0" fontId="2" fillId="3" borderId="4" xfId="0" applyFont="1" applyFill="1" applyBorder="1" applyAlignment="1">
      <alignment horizontal="right"/>
    </xf>
    <xf numFmtId="0" fontId="2" fillId="3" borderId="0" xfId="0" applyFont="1" applyFill="1" applyBorder="1"/>
    <xf numFmtId="0" fontId="2" fillId="3" borderId="0" xfId="0" applyFont="1" applyFill="1" applyBorder="1" applyAlignment="1">
      <alignment horizontal="right"/>
    </xf>
    <xf numFmtId="0" fontId="2" fillId="3" borderId="5" xfId="0" applyFont="1" applyFill="1" applyBorder="1"/>
    <xf numFmtId="0" fontId="11" fillId="0" borderId="0" xfId="0" applyFont="1" applyAlignment="1">
      <alignment horizontal="center" vertical="center" wrapText="1"/>
    </xf>
    <xf numFmtId="0" fontId="2" fillId="4" borderId="0" xfId="0" applyFont="1" applyFill="1"/>
    <xf numFmtId="0" fontId="1" fillId="4" borderId="0" xfId="0" applyFont="1" applyFill="1" applyAlignment="1">
      <alignment horizontal="center"/>
    </xf>
    <xf numFmtId="0" fontId="11" fillId="0" borderId="0" xfId="0" applyFont="1" applyAlignment="1">
      <alignment vertical="center" wrapText="1"/>
    </xf>
    <xf numFmtId="0" fontId="0" fillId="0" borderId="0" xfId="0" applyAlignment="1">
      <alignment vertical="top"/>
    </xf>
    <xf numFmtId="0" fontId="13" fillId="0" borderId="0" xfId="0" applyFont="1" applyAlignment="1">
      <alignment vertical="center"/>
    </xf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horizontal="left" vertical="top" textRotation="90" wrapText="1"/>
    </xf>
    <xf numFmtId="0" fontId="0" fillId="3" borderId="4" xfId="0" applyFill="1" applyBorder="1" applyAlignment="1">
      <alignment horizontal="center" vertical="top" wrapText="1"/>
    </xf>
    <xf numFmtId="0" fontId="2" fillId="0" borderId="0" xfId="0" applyFont="1" applyAlignment="1">
      <alignment horizontal="left" vertical="top" wrapText="1"/>
    </xf>
    <xf numFmtId="0" fontId="0" fillId="4" borderId="0" xfId="0" applyFill="1" applyAlignment="1">
      <alignment horizontal="center" vertical="top" wrapText="1"/>
    </xf>
    <xf numFmtId="0" fontId="11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0" fillId="6" borderId="1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5" borderId="3" xfId="0" applyFill="1" applyBorder="1" applyAlignment="1">
      <alignment horizontal="center" vertical="top" wrapText="1"/>
    </xf>
    <xf numFmtId="0" fontId="0" fillId="7" borderId="0" xfId="0" applyFill="1" applyAlignment="1">
      <alignment horizontal="center" vertical="top" wrapText="1"/>
    </xf>
    <xf numFmtId="0" fontId="0" fillId="3" borderId="0" xfId="0" applyFill="1" applyAlignment="1">
      <alignment horizontal="center" wrapText="1"/>
    </xf>
    <xf numFmtId="0" fontId="0" fillId="2" borderId="0" xfId="0" applyFill="1" applyAlignment="1">
      <alignment horizontal="center" vertical="top" wrapText="1"/>
    </xf>
    <xf numFmtId="0" fontId="0" fillId="7" borderId="4" xfId="0" applyFill="1" applyBorder="1" applyAlignment="1">
      <alignment horizontal="center" vertical="top" wrapText="1"/>
    </xf>
    <xf numFmtId="0" fontId="0" fillId="7" borderId="6" xfId="0" applyFill="1" applyBorder="1" applyAlignment="1">
      <alignment horizontal="center" vertical="top" wrapText="1"/>
    </xf>
    <xf numFmtId="0" fontId="2" fillId="3" borderId="4" xfId="0" applyFont="1" applyFill="1" applyBorder="1" applyAlignment="1">
      <alignment horizontal="center"/>
    </xf>
    <xf numFmtId="0" fontId="2" fillId="3" borderId="0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</cellXfs>
  <cellStyles count="1">
    <cellStyle name="Navadno" xfId="0" builtinId="0"/>
  </cellStyles>
  <dxfs count="0"/>
  <tableStyles count="0" defaultTableStyle="TableStyleMedium2" defaultPivotStyle="PivotStyleLight16"/>
  <colors>
    <mruColors>
      <color rgb="FF7698D4"/>
      <color rgb="FF8FAADC"/>
      <color rgb="FFBDD7EE"/>
      <color rgb="FF9B86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sl-SI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'Digital signal processing'!$D$18</c:f>
              <c:strCache>
                <c:ptCount val="1"/>
                <c:pt idx="0">
                  <c:v>Signal voltage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'Digital signal processing'!$C$20:$C$275</c:f>
              <c:strCache>
                <c:ptCount val="252"/>
                <c:pt idx="0">
                  <c:v>0</c:v>
                </c:pt>
                <c:pt idx="36">
                  <c:v>1</c:v>
                </c:pt>
                <c:pt idx="72">
                  <c:v>2</c:v>
                </c:pt>
                <c:pt idx="108">
                  <c:v>3</c:v>
                </c:pt>
                <c:pt idx="143">
                  <c:v>4</c:v>
                </c:pt>
                <c:pt idx="179">
                  <c:v>5</c:v>
                </c:pt>
                <c:pt idx="215">
                  <c:v>6</c:v>
                </c:pt>
                <c:pt idx="251">
                  <c:v>7</c:v>
                </c:pt>
              </c:strCache>
            </c:strRef>
          </c:cat>
          <c:val>
            <c:numRef>
              <c:f>'Digital signal processing'!$D$20:$D$275</c:f>
              <c:numCache>
                <c:formatCode>General</c:formatCode>
                <c:ptCount val="256"/>
                <c:pt idx="0">
                  <c:v>382</c:v>
                </c:pt>
                <c:pt idx="1">
                  <c:v>310</c:v>
                </c:pt>
                <c:pt idx="2">
                  <c:v>172</c:v>
                </c:pt>
                <c:pt idx="3">
                  <c:v>107</c:v>
                </c:pt>
                <c:pt idx="4">
                  <c:v>141</c:v>
                </c:pt>
                <c:pt idx="5">
                  <c:v>285</c:v>
                </c:pt>
                <c:pt idx="6">
                  <c:v>439</c:v>
                </c:pt>
                <c:pt idx="7">
                  <c:v>423</c:v>
                </c:pt>
                <c:pt idx="8">
                  <c:v>206</c:v>
                </c:pt>
                <c:pt idx="9">
                  <c:v>-40</c:v>
                </c:pt>
                <c:pt idx="10">
                  <c:v>-121</c:v>
                </c:pt>
                <c:pt idx="11">
                  <c:v>45</c:v>
                </c:pt>
                <c:pt idx="12">
                  <c:v>221</c:v>
                </c:pt>
                <c:pt idx="13">
                  <c:v>166</c:v>
                </c:pt>
                <c:pt idx="14">
                  <c:v>-7</c:v>
                </c:pt>
                <c:pt idx="15">
                  <c:v>-64</c:v>
                </c:pt>
                <c:pt idx="16">
                  <c:v>50</c:v>
                </c:pt>
                <c:pt idx="17">
                  <c:v>119</c:v>
                </c:pt>
                <c:pt idx="18">
                  <c:v>99</c:v>
                </c:pt>
                <c:pt idx="19">
                  <c:v>123</c:v>
                </c:pt>
                <c:pt idx="20">
                  <c:v>226</c:v>
                </c:pt>
                <c:pt idx="21">
                  <c:v>321</c:v>
                </c:pt>
                <c:pt idx="22">
                  <c:v>278</c:v>
                </c:pt>
                <c:pt idx="23">
                  <c:v>77</c:v>
                </c:pt>
                <c:pt idx="24">
                  <c:v>-123</c:v>
                </c:pt>
                <c:pt idx="25">
                  <c:v>-154</c:v>
                </c:pt>
                <c:pt idx="26">
                  <c:v>-60</c:v>
                </c:pt>
                <c:pt idx="27">
                  <c:v>-27</c:v>
                </c:pt>
                <c:pt idx="28">
                  <c:v>-67</c:v>
                </c:pt>
                <c:pt idx="29">
                  <c:v>-49</c:v>
                </c:pt>
                <c:pt idx="30">
                  <c:v>33</c:v>
                </c:pt>
                <c:pt idx="31">
                  <c:v>64</c:v>
                </c:pt>
                <c:pt idx="32">
                  <c:v>-58</c:v>
                </c:pt>
                <c:pt idx="33">
                  <c:v>-240</c:v>
                </c:pt>
                <c:pt idx="34">
                  <c:v>-304</c:v>
                </c:pt>
                <c:pt idx="35">
                  <c:v>-290</c:v>
                </c:pt>
                <c:pt idx="36">
                  <c:v>-249</c:v>
                </c:pt>
                <c:pt idx="37">
                  <c:v>-195</c:v>
                </c:pt>
                <c:pt idx="38">
                  <c:v>-157</c:v>
                </c:pt>
                <c:pt idx="39">
                  <c:v>-187</c:v>
                </c:pt>
                <c:pt idx="40">
                  <c:v>-277</c:v>
                </c:pt>
                <c:pt idx="41">
                  <c:v>-281</c:v>
                </c:pt>
                <c:pt idx="42">
                  <c:v>-129</c:v>
                </c:pt>
                <c:pt idx="43">
                  <c:v>1</c:v>
                </c:pt>
                <c:pt idx="44">
                  <c:v>35</c:v>
                </c:pt>
                <c:pt idx="45">
                  <c:v>104</c:v>
                </c:pt>
                <c:pt idx="46">
                  <c:v>245</c:v>
                </c:pt>
                <c:pt idx="47">
                  <c:v>349</c:v>
                </c:pt>
                <c:pt idx="48">
                  <c:v>351</c:v>
                </c:pt>
                <c:pt idx="49">
                  <c:v>270</c:v>
                </c:pt>
                <c:pt idx="50">
                  <c:v>178</c:v>
                </c:pt>
                <c:pt idx="51">
                  <c:v>135</c:v>
                </c:pt>
                <c:pt idx="52">
                  <c:v>127</c:v>
                </c:pt>
                <c:pt idx="53">
                  <c:v>137</c:v>
                </c:pt>
                <c:pt idx="54">
                  <c:v>192</c:v>
                </c:pt>
                <c:pt idx="55">
                  <c:v>288</c:v>
                </c:pt>
                <c:pt idx="56">
                  <c:v>360</c:v>
                </c:pt>
                <c:pt idx="57">
                  <c:v>317</c:v>
                </c:pt>
                <c:pt idx="58">
                  <c:v>206</c:v>
                </c:pt>
                <c:pt idx="59">
                  <c:v>118</c:v>
                </c:pt>
                <c:pt idx="60">
                  <c:v>54</c:v>
                </c:pt>
                <c:pt idx="61">
                  <c:v>-28</c:v>
                </c:pt>
                <c:pt idx="62">
                  <c:v>-134</c:v>
                </c:pt>
                <c:pt idx="63">
                  <c:v>-204</c:v>
                </c:pt>
                <c:pt idx="64">
                  <c:v>-215</c:v>
                </c:pt>
                <c:pt idx="65">
                  <c:v>-231</c:v>
                </c:pt>
                <c:pt idx="66">
                  <c:v>-272</c:v>
                </c:pt>
                <c:pt idx="67">
                  <c:v>-322</c:v>
                </c:pt>
                <c:pt idx="68">
                  <c:v>-300</c:v>
                </c:pt>
                <c:pt idx="69">
                  <c:v>-207</c:v>
                </c:pt>
                <c:pt idx="70">
                  <c:v>-128</c:v>
                </c:pt>
                <c:pt idx="71">
                  <c:v>-134</c:v>
                </c:pt>
                <c:pt idx="72">
                  <c:v>-200</c:v>
                </c:pt>
                <c:pt idx="73">
                  <c:v>-244</c:v>
                </c:pt>
                <c:pt idx="74">
                  <c:v>-247</c:v>
                </c:pt>
                <c:pt idx="75">
                  <c:v>-224</c:v>
                </c:pt>
                <c:pt idx="76">
                  <c:v>-186</c:v>
                </c:pt>
                <c:pt idx="77">
                  <c:v>-124</c:v>
                </c:pt>
                <c:pt idx="78">
                  <c:v>-16</c:v>
                </c:pt>
                <c:pt idx="79">
                  <c:v>98</c:v>
                </c:pt>
                <c:pt idx="80">
                  <c:v>167</c:v>
                </c:pt>
                <c:pt idx="81">
                  <c:v>202</c:v>
                </c:pt>
                <c:pt idx="82">
                  <c:v>230</c:v>
                </c:pt>
                <c:pt idx="83">
                  <c:v>281</c:v>
                </c:pt>
                <c:pt idx="84">
                  <c:v>334</c:v>
                </c:pt>
                <c:pt idx="85">
                  <c:v>365</c:v>
                </c:pt>
                <c:pt idx="86">
                  <c:v>376</c:v>
                </c:pt>
                <c:pt idx="87">
                  <c:v>371</c:v>
                </c:pt>
                <c:pt idx="88">
                  <c:v>362</c:v>
                </c:pt>
                <c:pt idx="89">
                  <c:v>348</c:v>
                </c:pt>
                <c:pt idx="90">
                  <c:v>306</c:v>
                </c:pt>
                <c:pt idx="91">
                  <c:v>244</c:v>
                </c:pt>
                <c:pt idx="92">
                  <c:v>200</c:v>
                </c:pt>
                <c:pt idx="93">
                  <c:v>180</c:v>
                </c:pt>
                <c:pt idx="94">
                  <c:v>164</c:v>
                </c:pt>
                <c:pt idx="95">
                  <c:v>156</c:v>
                </c:pt>
                <c:pt idx="96">
                  <c:v>151</c:v>
                </c:pt>
                <c:pt idx="97">
                  <c:v>114</c:v>
                </c:pt>
                <c:pt idx="98">
                  <c:v>13</c:v>
                </c:pt>
                <c:pt idx="99">
                  <c:v>-139</c:v>
                </c:pt>
                <c:pt idx="100">
                  <c:v>-284</c:v>
                </c:pt>
                <c:pt idx="101">
                  <c:v>-352</c:v>
                </c:pt>
                <c:pt idx="102">
                  <c:v>-338</c:v>
                </c:pt>
                <c:pt idx="103">
                  <c:v>-295</c:v>
                </c:pt>
                <c:pt idx="104">
                  <c:v>-246</c:v>
                </c:pt>
                <c:pt idx="105">
                  <c:v>-206</c:v>
                </c:pt>
                <c:pt idx="106">
                  <c:v>-167</c:v>
                </c:pt>
                <c:pt idx="107">
                  <c:v>-132</c:v>
                </c:pt>
                <c:pt idx="108">
                  <c:v>-125</c:v>
                </c:pt>
                <c:pt idx="109">
                  <c:v>-130</c:v>
                </c:pt>
                <c:pt idx="110">
                  <c:v>-110</c:v>
                </c:pt>
                <c:pt idx="111">
                  <c:v>-68</c:v>
                </c:pt>
                <c:pt idx="112">
                  <c:v>-10</c:v>
                </c:pt>
                <c:pt idx="113">
                  <c:v>42</c:v>
                </c:pt>
                <c:pt idx="114">
                  <c:v>44</c:v>
                </c:pt>
                <c:pt idx="115">
                  <c:v>-4</c:v>
                </c:pt>
                <c:pt idx="116">
                  <c:v>-46</c:v>
                </c:pt>
                <c:pt idx="117">
                  <c:v>-22</c:v>
                </c:pt>
                <c:pt idx="118">
                  <c:v>57</c:v>
                </c:pt>
                <c:pt idx="119">
                  <c:v>125</c:v>
                </c:pt>
                <c:pt idx="120">
                  <c:v>151</c:v>
                </c:pt>
                <c:pt idx="121">
                  <c:v>147</c:v>
                </c:pt>
                <c:pt idx="122">
                  <c:v>131</c:v>
                </c:pt>
                <c:pt idx="123">
                  <c:v>106</c:v>
                </c:pt>
                <c:pt idx="124">
                  <c:v>68</c:v>
                </c:pt>
                <c:pt idx="125">
                  <c:v>28</c:v>
                </c:pt>
                <c:pt idx="126">
                  <c:v>5</c:v>
                </c:pt>
                <c:pt idx="127">
                  <c:v>5</c:v>
                </c:pt>
                <c:pt idx="128">
                  <c:v>17</c:v>
                </c:pt>
                <c:pt idx="129">
                  <c:v>10</c:v>
                </c:pt>
                <c:pt idx="130">
                  <c:v>-27</c:v>
                </c:pt>
                <c:pt idx="131">
                  <c:v>-87</c:v>
                </c:pt>
                <c:pt idx="132">
                  <c:v>-131</c:v>
                </c:pt>
                <c:pt idx="133">
                  <c:v>-128</c:v>
                </c:pt>
                <c:pt idx="134">
                  <c:v>-69</c:v>
                </c:pt>
                <c:pt idx="135">
                  <c:v>-9</c:v>
                </c:pt>
                <c:pt idx="136">
                  <c:v>9</c:v>
                </c:pt>
                <c:pt idx="137">
                  <c:v>-15</c:v>
                </c:pt>
                <c:pt idx="138">
                  <c:v>-73</c:v>
                </c:pt>
                <c:pt idx="139">
                  <c:v>-112</c:v>
                </c:pt>
                <c:pt idx="140">
                  <c:v>-115</c:v>
                </c:pt>
                <c:pt idx="141">
                  <c:v>-89</c:v>
                </c:pt>
                <c:pt idx="142">
                  <c:v>-61</c:v>
                </c:pt>
                <c:pt idx="143">
                  <c:v>-49</c:v>
                </c:pt>
                <c:pt idx="144">
                  <c:v>-39</c:v>
                </c:pt>
                <c:pt idx="145">
                  <c:v>-10</c:v>
                </c:pt>
                <c:pt idx="146">
                  <c:v>23</c:v>
                </c:pt>
                <c:pt idx="147">
                  <c:v>45</c:v>
                </c:pt>
                <c:pt idx="148">
                  <c:v>42</c:v>
                </c:pt>
                <c:pt idx="149">
                  <c:v>15</c:v>
                </c:pt>
                <c:pt idx="150">
                  <c:v>-9</c:v>
                </c:pt>
                <c:pt idx="151">
                  <c:v>-23</c:v>
                </c:pt>
                <c:pt idx="152">
                  <c:v>-31</c:v>
                </c:pt>
                <c:pt idx="153">
                  <c:v>-41</c:v>
                </c:pt>
                <c:pt idx="154">
                  <c:v>-63</c:v>
                </c:pt>
                <c:pt idx="155">
                  <c:v>-72</c:v>
                </c:pt>
                <c:pt idx="156">
                  <c:v>-56</c:v>
                </c:pt>
                <c:pt idx="157">
                  <c:v>-39</c:v>
                </c:pt>
                <c:pt idx="158">
                  <c:v>-41</c:v>
                </c:pt>
                <c:pt idx="159">
                  <c:v>-53</c:v>
                </c:pt>
                <c:pt idx="160">
                  <c:v>-60</c:v>
                </c:pt>
                <c:pt idx="161">
                  <c:v>-55</c:v>
                </c:pt>
                <c:pt idx="162">
                  <c:v>-59</c:v>
                </c:pt>
                <c:pt idx="163">
                  <c:v>-59</c:v>
                </c:pt>
                <c:pt idx="164">
                  <c:v>-27</c:v>
                </c:pt>
                <c:pt idx="165">
                  <c:v>37</c:v>
                </c:pt>
                <c:pt idx="166">
                  <c:v>98</c:v>
                </c:pt>
                <c:pt idx="167">
                  <c:v>130</c:v>
                </c:pt>
                <c:pt idx="168">
                  <c:v>132</c:v>
                </c:pt>
                <c:pt idx="169">
                  <c:v>128</c:v>
                </c:pt>
                <c:pt idx="170">
                  <c:v>121</c:v>
                </c:pt>
                <c:pt idx="171">
                  <c:v>103</c:v>
                </c:pt>
                <c:pt idx="172">
                  <c:v>78</c:v>
                </c:pt>
                <c:pt idx="173">
                  <c:v>61</c:v>
                </c:pt>
                <c:pt idx="174">
                  <c:v>55</c:v>
                </c:pt>
                <c:pt idx="175">
                  <c:v>67</c:v>
                </c:pt>
                <c:pt idx="176">
                  <c:v>86</c:v>
                </c:pt>
                <c:pt idx="177">
                  <c:v>81</c:v>
                </c:pt>
                <c:pt idx="178">
                  <c:v>50</c:v>
                </c:pt>
                <c:pt idx="179">
                  <c:v>12</c:v>
                </c:pt>
                <c:pt idx="180">
                  <c:v>-7</c:v>
                </c:pt>
                <c:pt idx="181">
                  <c:v>-14</c:v>
                </c:pt>
                <c:pt idx="182">
                  <c:v>-28</c:v>
                </c:pt>
                <c:pt idx="183">
                  <c:v>-48</c:v>
                </c:pt>
                <c:pt idx="184">
                  <c:v>-75</c:v>
                </c:pt>
                <c:pt idx="185">
                  <c:v>-121</c:v>
                </c:pt>
                <c:pt idx="186">
                  <c:v>-167</c:v>
                </c:pt>
                <c:pt idx="187">
                  <c:v>-195</c:v>
                </c:pt>
                <c:pt idx="188">
                  <c:v>-189</c:v>
                </c:pt>
                <c:pt idx="189">
                  <c:v>-167</c:v>
                </c:pt>
                <c:pt idx="190">
                  <c:v>-139</c:v>
                </c:pt>
                <c:pt idx="191">
                  <c:v>-125</c:v>
                </c:pt>
                <c:pt idx="192">
                  <c:v>-126</c:v>
                </c:pt>
                <c:pt idx="193">
                  <c:v>-104</c:v>
                </c:pt>
                <c:pt idx="194">
                  <c:v>-65</c:v>
                </c:pt>
                <c:pt idx="195">
                  <c:v>-46</c:v>
                </c:pt>
                <c:pt idx="196">
                  <c:v>-60</c:v>
                </c:pt>
                <c:pt idx="197">
                  <c:v>-72</c:v>
                </c:pt>
                <c:pt idx="198">
                  <c:v>-51</c:v>
                </c:pt>
                <c:pt idx="199">
                  <c:v>12</c:v>
                </c:pt>
                <c:pt idx="200">
                  <c:v>67</c:v>
                </c:pt>
                <c:pt idx="201">
                  <c:v>94</c:v>
                </c:pt>
                <c:pt idx="202">
                  <c:v>103</c:v>
                </c:pt>
                <c:pt idx="203">
                  <c:v>110</c:v>
                </c:pt>
                <c:pt idx="204">
                  <c:v>111</c:v>
                </c:pt>
                <c:pt idx="205">
                  <c:v>88</c:v>
                </c:pt>
                <c:pt idx="206">
                  <c:v>45</c:v>
                </c:pt>
                <c:pt idx="207">
                  <c:v>-9</c:v>
                </c:pt>
                <c:pt idx="208">
                  <c:v>-57</c:v>
                </c:pt>
                <c:pt idx="209">
                  <c:v>-83</c:v>
                </c:pt>
                <c:pt idx="210">
                  <c:v>-82</c:v>
                </c:pt>
                <c:pt idx="211">
                  <c:v>-67</c:v>
                </c:pt>
                <c:pt idx="212">
                  <c:v>-56</c:v>
                </c:pt>
                <c:pt idx="213">
                  <c:v>-52</c:v>
                </c:pt>
                <c:pt idx="214">
                  <c:v>-71</c:v>
                </c:pt>
                <c:pt idx="215">
                  <c:v>-102</c:v>
                </c:pt>
                <c:pt idx="216">
                  <c:v>-92</c:v>
                </c:pt>
                <c:pt idx="217">
                  <c:v>-44</c:v>
                </c:pt>
                <c:pt idx="218">
                  <c:v>-3</c:v>
                </c:pt>
                <c:pt idx="219">
                  <c:v>-8</c:v>
                </c:pt>
                <c:pt idx="220">
                  <c:v>-48</c:v>
                </c:pt>
                <c:pt idx="221">
                  <c:v>-70</c:v>
                </c:pt>
                <c:pt idx="222">
                  <c:v>-34</c:v>
                </c:pt>
                <c:pt idx="223">
                  <c:v>28</c:v>
                </c:pt>
                <c:pt idx="224">
                  <c:v>64</c:v>
                </c:pt>
                <c:pt idx="225">
                  <c:v>71</c:v>
                </c:pt>
                <c:pt idx="226">
                  <c:v>71</c:v>
                </c:pt>
                <c:pt idx="227">
                  <c:v>85</c:v>
                </c:pt>
                <c:pt idx="228">
                  <c:v>97</c:v>
                </c:pt>
                <c:pt idx="229">
                  <c:v>82</c:v>
                </c:pt>
                <c:pt idx="230">
                  <c:v>56</c:v>
                </c:pt>
                <c:pt idx="231">
                  <c:v>34</c:v>
                </c:pt>
                <c:pt idx="232">
                  <c:v>32</c:v>
                </c:pt>
                <c:pt idx="233">
                  <c:v>42</c:v>
                </c:pt>
                <c:pt idx="234">
                  <c:v>69</c:v>
                </c:pt>
                <c:pt idx="235">
                  <c:v>98</c:v>
                </c:pt>
                <c:pt idx="236">
                  <c:v>107</c:v>
                </c:pt>
                <c:pt idx="237">
                  <c:v>87</c:v>
                </c:pt>
                <c:pt idx="238">
                  <c:v>44</c:v>
                </c:pt>
                <c:pt idx="239">
                  <c:v>4</c:v>
                </c:pt>
                <c:pt idx="240">
                  <c:v>-19</c:v>
                </c:pt>
                <c:pt idx="241">
                  <c:v>-12</c:v>
                </c:pt>
                <c:pt idx="242">
                  <c:v>23</c:v>
                </c:pt>
                <c:pt idx="243">
                  <c:v>39</c:v>
                </c:pt>
                <c:pt idx="244">
                  <c:v>17</c:v>
                </c:pt>
                <c:pt idx="245">
                  <c:v>-19</c:v>
                </c:pt>
                <c:pt idx="246">
                  <c:v>-63</c:v>
                </c:pt>
                <c:pt idx="247">
                  <c:v>-97</c:v>
                </c:pt>
                <c:pt idx="248">
                  <c:v>-112</c:v>
                </c:pt>
                <c:pt idx="249">
                  <c:v>-109</c:v>
                </c:pt>
                <c:pt idx="250">
                  <c:v>-118</c:v>
                </c:pt>
                <c:pt idx="251">
                  <c:v>-124</c:v>
                </c:pt>
                <c:pt idx="252">
                  <c:v>-96</c:v>
                </c:pt>
                <c:pt idx="253">
                  <c:v>-40</c:v>
                </c:pt>
                <c:pt idx="254">
                  <c:v>-2</c:v>
                </c:pt>
                <c:pt idx="255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6A-4B72-A407-70D0950A7C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1288384"/>
        <c:axId val="171270624"/>
      </c:lineChart>
      <c:catAx>
        <c:axId val="17128838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l-SI"/>
                  <a:t>time [ms]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171270624"/>
        <c:crosses val="autoZero"/>
        <c:auto val="1"/>
        <c:lblAlgn val="ctr"/>
        <c:lblOffset val="100"/>
        <c:noMultiLvlLbl val="0"/>
      </c:catAx>
      <c:valAx>
        <c:axId val="171270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l-SI"/>
                  <a:t>Signal</a:t>
                </a:r>
                <a:r>
                  <a:rPr lang="sl-SI" baseline="0"/>
                  <a:t> voltage</a:t>
                </a:r>
                <a:endParaRPr lang="sl-SI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1712883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l-SI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sl-SI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8FAADC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f>'Digital signal processing'!$G$20:$G$275</c:f>
              <c:numCache>
                <c:formatCode>General</c:formatCode>
                <c:ptCount val="25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</c:numCache>
            </c:numRef>
          </c:cat>
          <c:val>
            <c:numRef>
              <c:f>'Digital signal processing'!$H$20:$H$275</c:f>
              <c:numCache>
                <c:formatCode>#,##0.00</c:formatCode>
                <c:ptCount val="256"/>
                <c:pt idx="0">
                  <c:v>5.1641297019821977</c:v>
                </c:pt>
                <c:pt idx="1">
                  <c:v>4.9827279068383925</c:v>
                </c:pt>
                <c:pt idx="2">
                  <c:v>4.4710715736130311</c:v>
                </c:pt>
                <c:pt idx="3">
                  <c:v>4.0588054866759071</c:v>
                </c:pt>
                <c:pt idx="4">
                  <c:v>4.2984600694614521</c:v>
                </c:pt>
                <c:pt idx="5">
                  <c:v>4.9096950667921329</c:v>
                </c:pt>
                <c:pt idx="6">
                  <c:v>5.2849312939665056</c:v>
                </c:pt>
                <c:pt idx="7">
                  <c:v>5.2526831619321976</c:v>
                </c:pt>
                <c:pt idx="8">
                  <c:v>4.6277446747227762</c:v>
                </c:pt>
                <c:pt idx="9">
                  <c:v>3.2043913319192998</c:v>
                </c:pt>
                <c:pt idx="10">
                  <c:v>4.1656004025174118</c:v>
                </c:pt>
                <c:pt idx="11">
                  <c:v>3.3066394410242617</c:v>
                </c:pt>
                <c:pt idx="12">
                  <c:v>4.6887934392855373</c:v>
                </c:pt>
                <c:pt idx="13">
                  <c:v>4.4402319362267892</c:v>
                </c:pt>
                <c:pt idx="14">
                  <c:v>1.6989700043360187</c:v>
                </c:pt>
                <c:pt idx="15">
                  <c:v>3.6124659639531425</c:v>
                </c:pt>
                <c:pt idx="16">
                  <c:v>3.3981136917305026</c:v>
                </c:pt>
                <c:pt idx="17">
                  <c:v>4.1511245900506824</c:v>
                </c:pt>
                <c:pt idx="18">
                  <c:v>3.9913146981766108</c:v>
                </c:pt>
                <c:pt idx="19">
                  <c:v>4.1798389280231865</c:v>
                </c:pt>
                <c:pt idx="20">
                  <c:v>4.708225381118643</c:v>
                </c:pt>
                <c:pt idx="21">
                  <c:v>5.0130142795628476</c:v>
                </c:pt>
                <c:pt idx="22">
                  <c:v>4.8880952112615468</c:v>
                </c:pt>
                <c:pt idx="23">
                  <c:v>3.7730546933642626</c:v>
                </c:pt>
                <c:pt idx="24">
                  <c:v>4.1798389280231865</c:v>
                </c:pt>
                <c:pt idx="25">
                  <c:v>4.3750597535858127</c:v>
                </c:pt>
                <c:pt idx="26">
                  <c:v>3.5564231213712851</c:v>
                </c:pt>
                <c:pt idx="27">
                  <c:v>2.8633228601204559</c:v>
                </c:pt>
                <c:pt idx="28">
                  <c:v>3.6522463410033232</c:v>
                </c:pt>
                <c:pt idx="29">
                  <c:v>3.3805730030668872</c:v>
                </c:pt>
                <c:pt idx="30">
                  <c:v>3.0374264979406238</c:v>
                </c:pt>
                <c:pt idx="31">
                  <c:v>3.6124659639531425</c:v>
                </c:pt>
                <c:pt idx="32">
                  <c:v>3.5269850685599957</c:v>
                </c:pt>
                <c:pt idx="33">
                  <c:v>4.7604300231925185</c:v>
                </c:pt>
                <c:pt idx="34">
                  <c:v>4.9657518665350739</c:v>
                </c:pt>
                <c:pt idx="35">
                  <c:v>4.9248011597919659</c:v>
                </c:pt>
                <c:pt idx="36">
                  <c:v>4.7924056987717156</c:v>
                </c:pt>
                <c:pt idx="37">
                  <c:v>4.5800806438630071</c:v>
                </c:pt>
                <c:pt idx="38">
                  <c:v>4.3918169236132485</c:v>
                </c:pt>
                <c:pt idx="39">
                  <c:v>4.5436956323092446</c:v>
                </c:pt>
                <c:pt idx="40">
                  <c:v>4.8849651982007325</c:v>
                </c:pt>
                <c:pt idx="41">
                  <c:v>4.8974181398890835</c:v>
                </c:pt>
                <c:pt idx="42">
                  <c:v>4.2212055176740035</c:v>
                </c:pt>
                <c:pt idx="43">
                  <c:v>0.3010299956639812</c:v>
                </c:pt>
                <c:pt idx="44">
                  <c:v>3.0884904701823963</c:v>
                </c:pt>
                <c:pt idx="45">
                  <c:v>4.0341068297076434</c:v>
                </c:pt>
                <c:pt idx="46">
                  <c:v>4.7783394038954841</c:v>
                </c:pt>
                <c:pt idx="47">
                  <c:v>5.0856544195105888</c:v>
                </c:pt>
                <c:pt idx="48">
                  <c:v>5.0906177580062772</c:v>
                </c:pt>
                <c:pt idx="49">
                  <c:v>4.8627334856774151</c:v>
                </c:pt>
                <c:pt idx="50">
                  <c:v>4.5008537114612581</c:v>
                </c:pt>
                <c:pt idx="51">
                  <c:v>4.2606913659374763</c:v>
                </c:pt>
                <c:pt idx="52">
                  <c:v>4.2076343673889616</c:v>
                </c:pt>
                <c:pt idx="53">
                  <c:v>4.2734642726213465</c:v>
                </c:pt>
                <c:pt idx="54">
                  <c:v>4.5666142382391177</c:v>
                </c:pt>
                <c:pt idx="55">
                  <c:v>4.9187902114832562</c:v>
                </c:pt>
                <c:pt idx="56">
                  <c:v>5.1126083525593149</c:v>
                </c:pt>
                <c:pt idx="57">
                  <c:v>5.0021228462251619</c:v>
                </c:pt>
                <c:pt idx="58">
                  <c:v>4.6277446747227762</c:v>
                </c:pt>
                <c:pt idx="59">
                  <c:v>4.1437952038457668</c:v>
                </c:pt>
                <c:pt idx="60">
                  <c:v>3.4649364291217326</c:v>
                </c:pt>
                <c:pt idx="61">
                  <c:v>2.8948696567452528</c:v>
                </c:pt>
                <c:pt idx="62">
                  <c:v>4.2542337826501466</c:v>
                </c:pt>
                <c:pt idx="63">
                  <c:v>4.6192707704838645</c:v>
                </c:pt>
                <c:pt idx="64">
                  <c:v>4.66488631495905</c:v>
                </c:pt>
                <c:pt idx="65">
                  <c:v>4.7272320985075611</c:v>
                </c:pt>
                <c:pt idx="66">
                  <c:v>4.8691436781422901</c:v>
                </c:pt>
                <c:pt idx="67">
                  <c:v>5.0157159320069509</c:v>
                </c:pt>
                <c:pt idx="68">
                  <c:v>4.9542473349067597</c:v>
                </c:pt>
                <c:pt idx="69">
                  <c:v>4.6319508262592173</c:v>
                </c:pt>
                <c:pt idx="70">
                  <c:v>4.2144464457183943</c:v>
                </c:pt>
                <c:pt idx="71">
                  <c:v>4.2542337826501466</c:v>
                </c:pt>
                <c:pt idx="72">
                  <c:v>4.6020708485542956</c:v>
                </c:pt>
                <c:pt idx="73">
                  <c:v>4.7747869472695479</c:v>
                </c:pt>
                <c:pt idx="74">
                  <c:v>4.785401024992388</c:v>
                </c:pt>
                <c:pt idx="75">
                  <c:v>4.7005046920046265</c:v>
                </c:pt>
                <c:pt idx="76">
                  <c:v>4.5390384415692981</c:v>
                </c:pt>
                <c:pt idx="77">
                  <c:v>4.1868716143645353</c:v>
                </c:pt>
                <c:pt idx="78">
                  <c:v>2.4099331233312946</c:v>
                </c:pt>
                <c:pt idx="79">
                  <c:v>3.9824973691977124</c:v>
                </c:pt>
                <c:pt idx="80">
                  <c:v>4.44544851426605</c:v>
                </c:pt>
                <c:pt idx="81">
                  <c:v>4.6107133821919506</c:v>
                </c:pt>
                <c:pt idx="82">
                  <c:v>4.7234638816831458</c:v>
                </c:pt>
                <c:pt idx="83">
                  <c:v>4.8974181398890835</c:v>
                </c:pt>
                <c:pt idx="84">
                  <c:v>5.047496826668195</c:v>
                </c:pt>
                <c:pt idx="85">
                  <c:v>5.1245889887579636</c:v>
                </c:pt>
                <c:pt idx="86">
                  <c:v>5.1503787617554035</c:v>
                </c:pt>
                <c:pt idx="87">
                  <c:v>5.1387509744883673</c:v>
                </c:pt>
                <c:pt idx="88">
                  <c:v>5.1174204551656022</c:v>
                </c:pt>
                <c:pt idx="89">
                  <c:v>5.0831620740066583</c:v>
                </c:pt>
                <c:pt idx="90">
                  <c:v>4.9714474910528139</c:v>
                </c:pt>
                <c:pt idx="91">
                  <c:v>4.7747869472695479</c:v>
                </c:pt>
                <c:pt idx="92">
                  <c:v>4.6020708485542956</c:v>
                </c:pt>
                <c:pt idx="93">
                  <c:v>4.510558414150438</c:v>
                </c:pt>
                <c:pt idx="94">
                  <c:v>4.4297038429725717</c:v>
                </c:pt>
                <c:pt idx="95">
                  <c:v>4.3862670421050138</c:v>
                </c:pt>
                <c:pt idx="96">
                  <c:v>4.3579729413368584</c:v>
                </c:pt>
                <c:pt idx="97">
                  <c:v>4.1138431189374867</c:v>
                </c:pt>
                <c:pt idx="98">
                  <c:v>2.2304489213782741</c:v>
                </c:pt>
                <c:pt idx="99">
                  <c:v>4.2860520777735163</c:v>
                </c:pt>
                <c:pt idx="100">
                  <c:v>4.9066420645885911</c:v>
                </c:pt>
                <c:pt idx="101">
                  <c:v>5.0930888320305883</c:v>
                </c:pt>
                <c:pt idx="102">
                  <c:v>5.057837202002923</c:v>
                </c:pt>
                <c:pt idx="103">
                  <c:v>4.9396490223842111</c:v>
                </c:pt>
                <c:pt idx="104">
                  <c:v>4.7818773906707293</c:v>
                </c:pt>
                <c:pt idx="105">
                  <c:v>4.6277446747227762</c:v>
                </c:pt>
                <c:pt idx="106">
                  <c:v>4.44544851426605</c:v>
                </c:pt>
                <c:pt idx="107">
                  <c:v>4.2411727867700471</c:v>
                </c:pt>
                <c:pt idx="108">
                  <c:v>4.1938478199735574</c:v>
                </c:pt>
                <c:pt idx="109">
                  <c:v>4.2279124017517482</c:v>
                </c:pt>
                <c:pt idx="110">
                  <c:v>4.0828212609393297</c:v>
                </c:pt>
                <c:pt idx="111">
                  <c:v>3.6651117370750512</c:v>
                </c:pt>
                <c:pt idx="112">
                  <c:v>2.0043213737826426</c:v>
                </c:pt>
                <c:pt idx="113">
                  <c:v>3.2467447097238415</c:v>
                </c:pt>
                <c:pt idx="114">
                  <c:v>3.287129620719111</c:v>
                </c:pt>
                <c:pt idx="115">
                  <c:v>1.2304489213782739</c:v>
                </c:pt>
                <c:pt idx="116">
                  <c:v>3.325720858019412</c:v>
                </c:pt>
                <c:pt idx="117">
                  <c:v>2.6857417386022635</c:v>
                </c:pt>
                <c:pt idx="118">
                  <c:v>3.5118833609788744</c:v>
                </c:pt>
                <c:pt idx="119">
                  <c:v>4.1938478199735574</c:v>
                </c:pt>
                <c:pt idx="120">
                  <c:v>4.3579729413368584</c:v>
                </c:pt>
                <c:pt idx="121">
                  <c:v>4.3346547668832409</c:v>
                </c:pt>
                <c:pt idx="122">
                  <c:v>4.234567897635686</c:v>
                </c:pt>
                <c:pt idx="123">
                  <c:v>4.0506503808639138</c:v>
                </c:pt>
                <c:pt idx="124">
                  <c:v>3.6651117370750512</c:v>
                </c:pt>
                <c:pt idx="125">
                  <c:v>2.8948696567452528</c:v>
                </c:pt>
                <c:pt idx="126">
                  <c:v>1.414973347970818</c:v>
                </c:pt>
                <c:pt idx="127">
                  <c:v>1.414973347970818</c:v>
                </c:pt>
                <c:pt idx="128">
                  <c:v>2.4623979978989561</c:v>
                </c:pt>
                <c:pt idx="129">
                  <c:v>2.0043213737826426</c:v>
                </c:pt>
                <c:pt idx="130">
                  <c:v>2.8633228601204559</c:v>
                </c:pt>
                <c:pt idx="131">
                  <c:v>3.8790958795000727</c:v>
                </c:pt>
                <c:pt idx="132">
                  <c:v>4.234567897635686</c:v>
                </c:pt>
                <c:pt idx="133">
                  <c:v>4.2144464457183943</c:v>
                </c:pt>
                <c:pt idx="134">
                  <c:v>3.677789391068861</c:v>
                </c:pt>
                <c:pt idx="135">
                  <c:v>1.9138138523837167</c:v>
                </c:pt>
                <c:pt idx="136">
                  <c:v>1.9138138523837167</c:v>
                </c:pt>
                <c:pt idx="137">
                  <c:v>2.3541084391474008</c:v>
                </c:pt>
                <c:pt idx="138">
                  <c:v>3.7267272090265724</c:v>
                </c:pt>
                <c:pt idx="139">
                  <c:v>4.0984706656506296</c:v>
                </c:pt>
                <c:pt idx="140">
                  <c:v>4.1214285183679626</c:v>
                </c:pt>
                <c:pt idx="141">
                  <c:v>3.8988348380682742</c:v>
                </c:pt>
                <c:pt idx="142">
                  <c:v>3.570776368794748</c:v>
                </c:pt>
                <c:pt idx="143">
                  <c:v>3.3805730030668872</c:v>
                </c:pt>
                <c:pt idx="144">
                  <c:v>3.182414652434554</c:v>
                </c:pt>
                <c:pt idx="145">
                  <c:v>2.0043213737826426</c:v>
                </c:pt>
                <c:pt idx="146">
                  <c:v>2.7242758696007892</c:v>
                </c:pt>
                <c:pt idx="147">
                  <c:v>3.3066394410242617</c:v>
                </c:pt>
                <c:pt idx="148">
                  <c:v>3.2467447097238415</c:v>
                </c:pt>
                <c:pt idx="149">
                  <c:v>2.3541084391474008</c:v>
                </c:pt>
                <c:pt idx="150">
                  <c:v>1.9138138523837167</c:v>
                </c:pt>
                <c:pt idx="151">
                  <c:v>2.7242758696007892</c:v>
                </c:pt>
                <c:pt idx="152">
                  <c:v>2.9831750720378132</c:v>
                </c:pt>
                <c:pt idx="153">
                  <c:v>3.2258259914618934</c:v>
                </c:pt>
                <c:pt idx="154">
                  <c:v>3.5987905067631152</c:v>
                </c:pt>
                <c:pt idx="155">
                  <c:v>3.7147487607250596</c:v>
                </c:pt>
                <c:pt idx="156">
                  <c:v>3.4965145186977451</c:v>
                </c:pt>
                <c:pt idx="157">
                  <c:v>3.182414652434554</c:v>
                </c:pt>
                <c:pt idx="158">
                  <c:v>3.2258259914618934</c:v>
                </c:pt>
                <c:pt idx="159">
                  <c:v>3.4487063199050798</c:v>
                </c:pt>
                <c:pt idx="160">
                  <c:v>3.5564231213712851</c:v>
                </c:pt>
                <c:pt idx="161">
                  <c:v>3.4808689236871677</c:v>
                </c:pt>
                <c:pt idx="162">
                  <c:v>3.5418287667813124</c:v>
                </c:pt>
                <c:pt idx="163">
                  <c:v>3.5418287667813124</c:v>
                </c:pt>
                <c:pt idx="164">
                  <c:v>2.8633228601204559</c:v>
                </c:pt>
                <c:pt idx="165">
                  <c:v>3.1367205671564067</c:v>
                </c:pt>
                <c:pt idx="166">
                  <c:v>3.9824973691977124</c:v>
                </c:pt>
                <c:pt idx="167">
                  <c:v>4.2279124017517482</c:v>
                </c:pt>
                <c:pt idx="168">
                  <c:v>4.2411727867700471</c:v>
                </c:pt>
                <c:pt idx="169">
                  <c:v>4.2144464457183943</c:v>
                </c:pt>
                <c:pt idx="170">
                  <c:v>4.1656004025174118</c:v>
                </c:pt>
                <c:pt idx="171">
                  <c:v>4.0257153839013409</c:v>
                </c:pt>
                <c:pt idx="172">
                  <c:v>3.784260582566084</c:v>
                </c:pt>
                <c:pt idx="173">
                  <c:v>3.570776368794748</c:v>
                </c:pt>
                <c:pt idx="174">
                  <c:v>3.4808689236871677</c:v>
                </c:pt>
                <c:pt idx="175">
                  <c:v>3.6522463410033232</c:v>
                </c:pt>
                <c:pt idx="176">
                  <c:v>3.8690556187019078</c:v>
                </c:pt>
                <c:pt idx="177">
                  <c:v>3.8170362260500288</c:v>
                </c:pt>
                <c:pt idx="178">
                  <c:v>3.3981136917305026</c:v>
                </c:pt>
                <c:pt idx="179">
                  <c:v>2.1613680022349748</c:v>
                </c:pt>
                <c:pt idx="180">
                  <c:v>1.6989700043360187</c:v>
                </c:pt>
                <c:pt idx="181">
                  <c:v>2.2944662261615929</c:v>
                </c:pt>
                <c:pt idx="182">
                  <c:v>2.8948696567452528</c:v>
                </c:pt>
                <c:pt idx="183">
                  <c:v>3.3626709297256672</c:v>
                </c:pt>
                <c:pt idx="184">
                  <c:v>3.7501997278291821</c:v>
                </c:pt>
                <c:pt idx="185">
                  <c:v>4.1656004025174118</c:v>
                </c:pt>
                <c:pt idx="186">
                  <c:v>4.44544851426605</c:v>
                </c:pt>
                <c:pt idx="187">
                  <c:v>4.5800806438630071</c:v>
                </c:pt>
                <c:pt idx="188">
                  <c:v>4.552935766136109</c:v>
                </c:pt>
                <c:pt idx="189">
                  <c:v>4.44544851426605</c:v>
                </c:pt>
                <c:pt idx="190">
                  <c:v>4.2860520777735163</c:v>
                </c:pt>
                <c:pt idx="191">
                  <c:v>4.1938478199735574</c:v>
                </c:pt>
                <c:pt idx="192">
                  <c:v>4.2007684447831712</c:v>
                </c:pt>
                <c:pt idx="193">
                  <c:v>4.0341068297076434</c:v>
                </c:pt>
                <c:pt idx="194">
                  <c:v>3.6259294927162946</c:v>
                </c:pt>
                <c:pt idx="195">
                  <c:v>3.325720858019412</c:v>
                </c:pt>
                <c:pt idx="196">
                  <c:v>3.5564231213712851</c:v>
                </c:pt>
                <c:pt idx="197">
                  <c:v>3.7147487607250596</c:v>
                </c:pt>
                <c:pt idx="198">
                  <c:v>3.4153072922255676</c:v>
                </c:pt>
                <c:pt idx="199">
                  <c:v>2.1613680022349748</c:v>
                </c:pt>
                <c:pt idx="200">
                  <c:v>3.6522463410033232</c:v>
                </c:pt>
                <c:pt idx="201">
                  <c:v>3.9463048549934747</c:v>
                </c:pt>
                <c:pt idx="202">
                  <c:v>4.0257153839013409</c:v>
                </c:pt>
                <c:pt idx="203">
                  <c:v>4.0828212609393297</c:v>
                </c:pt>
                <c:pt idx="204">
                  <c:v>4.0906812044573906</c:v>
                </c:pt>
                <c:pt idx="205">
                  <c:v>3.8890214220952246</c:v>
                </c:pt>
                <c:pt idx="206">
                  <c:v>3.3066394410242617</c:v>
                </c:pt>
                <c:pt idx="207">
                  <c:v>1.9138138523837167</c:v>
                </c:pt>
                <c:pt idx="208">
                  <c:v>3.5118833609788744</c:v>
                </c:pt>
                <c:pt idx="209">
                  <c:v>3.8382192219076257</c:v>
                </c:pt>
                <c:pt idx="210">
                  <c:v>3.8276922886744456</c:v>
                </c:pt>
                <c:pt idx="211">
                  <c:v>3.6522463410033232</c:v>
                </c:pt>
                <c:pt idx="212">
                  <c:v>3.4965145186977451</c:v>
                </c:pt>
                <c:pt idx="213">
                  <c:v>3.4321672694425884</c:v>
                </c:pt>
                <c:pt idx="214">
                  <c:v>3.7026028413404273</c:v>
                </c:pt>
                <c:pt idx="215">
                  <c:v>4.0172420845476458</c:v>
                </c:pt>
                <c:pt idx="216">
                  <c:v>3.927626962444954</c:v>
                </c:pt>
                <c:pt idx="217">
                  <c:v>3.287129620719111</c:v>
                </c:pt>
                <c:pt idx="218">
                  <c:v>1</c:v>
                </c:pt>
                <c:pt idx="219">
                  <c:v>1.8129133566428555</c:v>
                </c:pt>
                <c:pt idx="220">
                  <c:v>3.3626709297256672</c:v>
                </c:pt>
                <c:pt idx="221">
                  <c:v>3.6902847025126295</c:v>
                </c:pt>
                <c:pt idx="222">
                  <c:v>3.0633333589517497</c:v>
                </c:pt>
                <c:pt idx="223">
                  <c:v>2.8948696567452528</c:v>
                </c:pt>
                <c:pt idx="224">
                  <c:v>3.6124659639531425</c:v>
                </c:pt>
                <c:pt idx="225">
                  <c:v>3.7026028413404273</c:v>
                </c:pt>
                <c:pt idx="226">
                  <c:v>3.7026028413404273</c:v>
                </c:pt>
                <c:pt idx="227">
                  <c:v>3.8588979572320032</c:v>
                </c:pt>
                <c:pt idx="228">
                  <c:v>3.973589623427257</c:v>
                </c:pt>
                <c:pt idx="229">
                  <c:v>3.8276922886744456</c:v>
                </c:pt>
                <c:pt idx="230">
                  <c:v>3.4965145186977451</c:v>
                </c:pt>
                <c:pt idx="231">
                  <c:v>3.0633333589517497</c:v>
                </c:pt>
                <c:pt idx="232">
                  <c:v>3.0107238653917729</c:v>
                </c:pt>
                <c:pt idx="233">
                  <c:v>3.2467447097238415</c:v>
                </c:pt>
                <c:pt idx="234">
                  <c:v>3.677789391068861</c:v>
                </c:pt>
                <c:pt idx="235">
                  <c:v>3.9824973691977124</c:v>
                </c:pt>
                <c:pt idx="236">
                  <c:v>4.0588054866759071</c:v>
                </c:pt>
                <c:pt idx="237">
                  <c:v>3.8790958795000727</c:v>
                </c:pt>
                <c:pt idx="238">
                  <c:v>3.287129620719111</c:v>
                </c:pt>
                <c:pt idx="239">
                  <c:v>1.2304489213782739</c:v>
                </c:pt>
                <c:pt idx="240">
                  <c:v>2.5587085705331658</c:v>
                </c:pt>
                <c:pt idx="241">
                  <c:v>2.1613680022349748</c:v>
                </c:pt>
                <c:pt idx="242">
                  <c:v>2.7242758696007892</c:v>
                </c:pt>
                <c:pt idx="243">
                  <c:v>3.182414652434554</c:v>
                </c:pt>
                <c:pt idx="244">
                  <c:v>2.4623979978989561</c:v>
                </c:pt>
                <c:pt idx="245">
                  <c:v>2.5587085705331658</c:v>
                </c:pt>
                <c:pt idx="246">
                  <c:v>3.5987905067631152</c:v>
                </c:pt>
                <c:pt idx="247">
                  <c:v>3.973589623427257</c:v>
                </c:pt>
                <c:pt idx="248">
                  <c:v>4.0984706656506296</c:v>
                </c:pt>
                <c:pt idx="249">
                  <c:v>4.0748895480406686</c:v>
                </c:pt>
                <c:pt idx="250">
                  <c:v>4.1437952038457668</c:v>
                </c:pt>
                <c:pt idx="251">
                  <c:v>4.1868716143645353</c:v>
                </c:pt>
                <c:pt idx="252">
                  <c:v>3.9645895874899035</c:v>
                </c:pt>
                <c:pt idx="253">
                  <c:v>3.2043913319192998</c:v>
                </c:pt>
                <c:pt idx="254">
                  <c:v>0.69897000433601886</c:v>
                </c:pt>
                <c:pt idx="255">
                  <c:v>1.2304489213782739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D7C-48E1-A827-B2BBC0B410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8954688"/>
        <c:axId val="1518967168"/>
      </c:lineChart>
      <c:catAx>
        <c:axId val="1518954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1518967168"/>
        <c:crosses val="autoZero"/>
        <c:auto val="1"/>
        <c:lblAlgn val="ctr"/>
        <c:lblOffset val="100"/>
        <c:noMultiLvlLbl val="0"/>
      </c:catAx>
      <c:valAx>
        <c:axId val="1518967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l-SI"/>
                  <a:t>LR</a:t>
                </a:r>
                <a:r>
                  <a:rPr lang="sl-SI" baseline="0"/>
                  <a:t> log power coeff.</a:t>
                </a:r>
                <a:endParaRPr lang="sl-SI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15189546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l-SI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sl-SI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7698D4"/>
              </a:solidFill>
              <a:round/>
            </a:ln>
            <a:effectLst/>
          </c:spPr>
          <c:marker>
            <c:symbol val="none"/>
          </c:marker>
          <c:cat>
            <c:numRef>
              <c:f>'Digital signal processing'!$S$20:$S$148</c:f>
              <c:numCache>
                <c:formatCode>#,##0</c:formatCode>
                <c:ptCount val="129"/>
                <c:pt idx="0">
                  <c:v>0</c:v>
                </c:pt>
                <c:pt idx="1">
                  <c:v>139.6484375</c:v>
                </c:pt>
                <c:pt idx="2">
                  <c:v>279.296875</c:v>
                </c:pt>
                <c:pt idx="3">
                  <c:v>418.9453125</c:v>
                </c:pt>
                <c:pt idx="4">
                  <c:v>558.59375</c:v>
                </c:pt>
                <c:pt idx="5">
                  <c:v>698.2421875</c:v>
                </c:pt>
                <c:pt idx="6">
                  <c:v>837.890625</c:v>
                </c:pt>
                <c:pt idx="7">
                  <c:v>977.5390625</c:v>
                </c:pt>
                <c:pt idx="8">
                  <c:v>1117.1875</c:v>
                </c:pt>
                <c:pt idx="9">
                  <c:v>1256.8359375</c:v>
                </c:pt>
                <c:pt idx="10">
                  <c:v>1396.484375</c:v>
                </c:pt>
                <c:pt idx="11">
                  <c:v>1536.1328125</c:v>
                </c:pt>
                <c:pt idx="12">
                  <c:v>1675.78125</c:v>
                </c:pt>
                <c:pt idx="13">
                  <c:v>1815.4296875</c:v>
                </c:pt>
                <c:pt idx="14">
                  <c:v>1955.078125</c:v>
                </c:pt>
                <c:pt idx="15">
                  <c:v>2094.7265625</c:v>
                </c:pt>
                <c:pt idx="16">
                  <c:v>2234.375</c:v>
                </c:pt>
                <c:pt idx="17">
                  <c:v>2374.0234375</c:v>
                </c:pt>
                <c:pt idx="18">
                  <c:v>2513.671875</c:v>
                </c:pt>
                <c:pt idx="19">
                  <c:v>2653.3203125</c:v>
                </c:pt>
                <c:pt idx="20">
                  <c:v>2792.96875</c:v>
                </c:pt>
                <c:pt idx="21">
                  <c:v>2932.6171875</c:v>
                </c:pt>
                <c:pt idx="22">
                  <c:v>3072.265625</c:v>
                </c:pt>
                <c:pt idx="23">
                  <c:v>3211.9140625</c:v>
                </c:pt>
                <c:pt idx="24">
                  <c:v>3351.5625</c:v>
                </c:pt>
                <c:pt idx="25">
                  <c:v>3491.2109375</c:v>
                </c:pt>
                <c:pt idx="26">
                  <c:v>3630.859375</c:v>
                </c:pt>
                <c:pt idx="27">
                  <c:v>3770.5078125</c:v>
                </c:pt>
                <c:pt idx="28">
                  <c:v>3910.15625</c:v>
                </c:pt>
                <c:pt idx="29">
                  <c:v>4049.8046875</c:v>
                </c:pt>
                <c:pt idx="30">
                  <c:v>4189.453125</c:v>
                </c:pt>
                <c:pt idx="31">
                  <c:v>4329.1015625</c:v>
                </c:pt>
                <c:pt idx="32">
                  <c:v>4468.75</c:v>
                </c:pt>
                <c:pt idx="33">
                  <c:v>4608.3984375</c:v>
                </c:pt>
                <c:pt idx="34">
                  <c:v>4748.046875</c:v>
                </c:pt>
                <c:pt idx="35">
                  <c:v>4887.6953125</c:v>
                </c:pt>
                <c:pt idx="36">
                  <c:v>5027.34375</c:v>
                </c:pt>
                <c:pt idx="37">
                  <c:v>5166.9921875</c:v>
                </c:pt>
                <c:pt idx="38">
                  <c:v>5306.640625</c:v>
                </c:pt>
                <c:pt idx="39">
                  <c:v>5446.2890625</c:v>
                </c:pt>
                <c:pt idx="40">
                  <c:v>5585.9375</c:v>
                </c:pt>
                <c:pt idx="41">
                  <c:v>5725.5859375</c:v>
                </c:pt>
                <c:pt idx="42">
                  <c:v>5865.234375</c:v>
                </c:pt>
                <c:pt idx="43">
                  <c:v>6004.8828125</c:v>
                </c:pt>
                <c:pt idx="44">
                  <c:v>6144.53125</c:v>
                </c:pt>
                <c:pt idx="45">
                  <c:v>6284.1796875</c:v>
                </c:pt>
                <c:pt idx="46">
                  <c:v>6423.828125</c:v>
                </c:pt>
                <c:pt idx="47">
                  <c:v>6563.4765625</c:v>
                </c:pt>
                <c:pt idx="48">
                  <c:v>6703.125</c:v>
                </c:pt>
                <c:pt idx="49">
                  <c:v>6842.7734375</c:v>
                </c:pt>
                <c:pt idx="50">
                  <c:v>6982.421875</c:v>
                </c:pt>
                <c:pt idx="51">
                  <c:v>7122.0703125</c:v>
                </c:pt>
                <c:pt idx="52">
                  <c:v>7261.71875</c:v>
                </c:pt>
                <c:pt idx="53">
                  <c:v>7401.3671875</c:v>
                </c:pt>
                <c:pt idx="54">
                  <c:v>7541.015625</c:v>
                </c:pt>
                <c:pt idx="55">
                  <c:v>7680.6640625</c:v>
                </c:pt>
                <c:pt idx="56">
                  <c:v>7820.3125</c:v>
                </c:pt>
                <c:pt idx="57">
                  <c:v>7959.9609375</c:v>
                </c:pt>
                <c:pt idx="58">
                  <c:v>8099.609375</c:v>
                </c:pt>
                <c:pt idx="59">
                  <c:v>8239.2578125</c:v>
                </c:pt>
                <c:pt idx="60">
                  <c:v>8378.90625</c:v>
                </c:pt>
                <c:pt idx="61">
                  <c:v>8518.5546875</c:v>
                </c:pt>
                <c:pt idx="62">
                  <c:v>8658.203125</c:v>
                </c:pt>
                <c:pt idx="63">
                  <c:v>8797.8515625</c:v>
                </c:pt>
                <c:pt idx="64">
                  <c:v>8937.5</c:v>
                </c:pt>
                <c:pt idx="65">
                  <c:v>9077.1484375</c:v>
                </c:pt>
                <c:pt idx="66">
                  <c:v>9216.796875</c:v>
                </c:pt>
                <c:pt idx="67">
                  <c:v>9356.4453125</c:v>
                </c:pt>
                <c:pt idx="68">
                  <c:v>9496.09375</c:v>
                </c:pt>
                <c:pt idx="69">
                  <c:v>9635.7421875</c:v>
                </c:pt>
                <c:pt idx="70">
                  <c:v>9775.390625</c:v>
                </c:pt>
                <c:pt idx="71">
                  <c:v>9915.0390625</c:v>
                </c:pt>
                <c:pt idx="72">
                  <c:v>10054.6875</c:v>
                </c:pt>
                <c:pt idx="73">
                  <c:v>10194.3359375</c:v>
                </c:pt>
                <c:pt idx="74">
                  <c:v>10333.984375</c:v>
                </c:pt>
                <c:pt idx="75">
                  <c:v>10473.6328125</c:v>
                </c:pt>
                <c:pt idx="76">
                  <c:v>10613.28125</c:v>
                </c:pt>
                <c:pt idx="77">
                  <c:v>10752.9296875</c:v>
                </c:pt>
                <c:pt idx="78">
                  <c:v>10892.578125</c:v>
                </c:pt>
                <c:pt idx="79">
                  <c:v>11032.2265625</c:v>
                </c:pt>
                <c:pt idx="80">
                  <c:v>11171.875</c:v>
                </c:pt>
                <c:pt idx="81">
                  <c:v>11311.5234375</c:v>
                </c:pt>
                <c:pt idx="82">
                  <c:v>11451.171875</c:v>
                </c:pt>
                <c:pt idx="83">
                  <c:v>11590.8203125</c:v>
                </c:pt>
                <c:pt idx="84">
                  <c:v>11730.46875</c:v>
                </c:pt>
                <c:pt idx="85">
                  <c:v>11870.1171875</c:v>
                </c:pt>
                <c:pt idx="86">
                  <c:v>12009.765625</c:v>
                </c:pt>
                <c:pt idx="87">
                  <c:v>12149.4140625</c:v>
                </c:pt>
                <c:pt idx="88">
                  <c:v>12289.0625</c:v>
                </c:pt>
                <c:pt idx="89">
                  <c:v>12428.7109375</c:v>
                </c:pt>
                <c:pt idx="90">
                  <c:v>12568.359375</c:v>
                </c:pt>
                <c:pt idx="91">
                  <c:v>12708.0078125</c:v>
                </c:pt>
                <c:pt idx="92">
                  <c:v>12847.65625</c:v>
                </c:pt>
                <c:pt idx="93">
                  <c:v>12987.3046875</c:v>
                </c:pt>
                <c:pt idx="94">
                  <c:v>13126.953125</c:v>
                </c:pt>
                <c:pt idx="95">
                  <c:v>13266.6015625</c:v>
                </c:pt>
                <c:pt idx="96">
                  <c:v>13406.25</c:v>
                </c:pt>
                <c:pt idx="97">
                  <c:v>13545.8984375</c:v>
                </c:pt>
                <c:pt idx="98">
                  <c:v>13685.546875</c:v>
                </c:pt>
                <c:pt idx="99">
                  <c:v>13825.1953125</c:v>
                </c:pt>
                <c:pt idx="100">
                  <c:v>13964.84375</c:v>
                </c:pt>
                <c:pt idx="101">
                  <c:v>14104.4921875</c:v>
                </c:pt>
                <c:pt idx="102">
                  <c:v>14244.140625</c:v>
                </c:pt>
                <c:pt idx="103">
                  <c:v>14383.7890625</c:v>
                </c:pt>
                <c:pt idx="104">
                  <c:v>14523.4375</c:v>
                </c:pt>
                <c:pt idx="105">
                  <c:v>14663.0859375</c:v>
                </c:pt>
                <c:pt idx="106">
                  <c:v>14802.734375</c:v>
                </c:pt>
                <c:pt idx="107">
                  <c:v>14942.3828125</c:v>
                </c:pt>
                <c:pt idx="108">
                  <c:v>15082.03125</c:v>
                </c:pt>
                <c:pt idx="109">
                  <c:v>15221.6796875</c:v>
                </c:pt>
                <c:pt idx="110">
                  <c:v>15361.328125</c:v>
                </c:pt>
                <c:pt idx="111">
                  <c:v>15500.9765625</c:v>
                </c:pt>
                <c:pt idx="112">
                  <c:v>15640.625</c:v>
                </c:pt>
                <c:pt idx="113">
                  <c:v>15780.2734375</c:v>
                </c:pt>
                <c:pt idx="114">
                  <c:v>15919.921875</c:v>
                </c:pt>
                <c:pt idx="115">
                  <c:v>16059.5703125</c:v>
                </c:pt>
                <c:pt idx="116">
                  <c:v>16199.21875</c:v>
                </c:pt>
                <c:pt idx="117">
                  <c:v>16338.8671875</c:v>
                </c:pt>
                <c:pt idx="118">
                  <c:v>16478.515625</c:v>
                </c:pt>
                <c:pt idx="119">
                  <c:v>16618.1640625</c:v>
                </c:pt>
                <c:pt idx="120">
                  <c:v>16757.8125</c:v>
                </c:pt>
                <c:pt idx="121">
                  <c:v>16897.4609375</c:v>
                </c:pt>
                <c:pt idx="122">
                  <c:v>17037.109375</c:v>
                </c:pt>
                <c:pt idx="123">
                  <c:v>17176.7578125</c:v>
                </c:pt>
                <c:pt idx="124">
                  <c:v>17316.40625</c:v>
                </c:pt>
                <c:pt idx="125">
                  <c:v>17456.0546875</c:v>
                </c:pt>
                <c:pt idx="126">
                  <c:v>17595.703125</c:v>
                </c:pt>
                <c:pt idx="127">
                  <c:v>17735.3515625</c:v>
                </c:pt>
                <c:pt idx="128">
                  <c:v>17875</c:v>
                </c:pt>
              </c:numCache>
            </c:numRef>
          </c:cat>
          <c:val>
            <c:numRef>
              <c:f>'Digital signal processing'!$T$20:$T$148</c:f>
              <c:numCache>
                <c:formatCode>#,##0.00</c:formatCode>
                <c:ptCount val="129"/>
                <c:pt idx="0">
                  <c:v>8.3984375</c:v>
                </c:pt>
                <c:pt idx="1">
                  <c:v>14.697076395131322</c:v>
                </c:pt>
                <c:pt idx="2">
                  <c:v>7.8724116435169345</c:v>
                </c:pt>
                <c:pt idx="3">
                  <c:v>18.52767944389943</c:v>
                </c:pt>
                <c:pt idx="4">
                  <c:v>5.9045333666015827</c:v>
                </c:pt>
                <c:pt idx="5">
                  <c:v>6.5123975325117165</c:v>
                </c:pt>
                <c:pt idx="6">
                  <c:v>43.318771758857736</c:v>
                </c:pt>
                <c:pt idx="7">
                  <c:v>58.229193244303524</c:v>
                </c:pt>
                <c:pt idx="8">
                  <c:v>34.719785154809031</c:v>
                </c:pt>
                <c:pt idx="9">
                  <c:v>42.856595770459698</c:v>
                </c:pt>
                <c:pt idx="10">
                  <c:v>9.9773363921332887</c:v>
                </c:pt>
                <c:pt idx="11">
                  <c:v>8.1132513703197624</c:v>
                </c:pt>
                <c:pt idx="12">
                  <c:v>14.322108419010229</c:v>
                </c:pt>
                <c:pt idx="13">
                  <c:v>9.4106363429396787</c:v>
                </c:pt>
                <c:pt idx="14">
                  <c:v>10.972144619246901</c:v>
                </c:pt>
                <c:pt idx="15">
                  <c:v>4.2571531575452548</c:v>
                </c:pt>
                <c:pt idx="16">
                  <c:v>4.0405679553132581</c:v>
                </c:pt>
                <c:pt idx="17">
                  <c:v>10.06868968376105</c:v>
                </c:pt>
                <c:pt idx="18">
                  <c:v>4.7991847718116558</c:v>
                </c:pt>
                <c:pt idx="19">
                  <c:v>15.240961693015658</c:v>
                </c:pt>
                <c:pt idx="20">
                  <c:v>15.313733206383878</c:v>
                </c:pt>
                <c:pt idx="21">
                  <c:v>14.546193779625934</c:v>
                </c:pt>
                <c:pt idx="22">
                  <c:v>0.69180046109884985</c:v>
                </c:pt>
                <c:pt idx="23">
                  <c:v>7.0829558834084247</c:v>
                </c:pt>
                <c:pt idx="24">
                  <c:v>3.3802113968816143</c:v>
                </c:pt>
                <c:pt idx="25">
                  <c:v>3.7060877473015821</c:v>
                </c:pt>
                <c:pt idx="26">
                  <c:v>11.868025063583598</c:v>
                </c:pt>
                <c:pt idx="27">
                  <c:v>5.9037167635443017</c:v>
                </c:pt>
                <c:pt idx="28">
                  <c:v>5.599317472700208</c:v>
                </c:pt>
                <c:pt idx="29">
                  <c:v>1.2271880833165625</c:v>
                </c:pt>
                <c:pt idx="30">
                  <c:v>10.734513258738822</c:v>
                </c:pt>
                <c:pt idx="31">
                  <c:v>16.081259202123181</c:v>
                </c:pt>
                <c:pt idx="32">
                  <c:v>9.0134718932507649</c:v>
                </c:pt>
                <c:pt idx="33">
                  <c:v>4.0977475090429136</c:v>
                </c:pt>
                <c:pt idx="34">
                  <c:v>7.394954424787394</c:v>
                </c:pt>
                <c:pt idx="35">
                  <c:v>4.3392441922684402</c:v>
                </c:pt>
                <c:pt idx="36">
                  <c:v>9.7154797039283061</c:v>
                </c:pt>
                <c:pt idx="37">
                  <c:v>4.7446943736394127</c:v>
                </c:pt>
                <c:pt idx="38">
                  <c:v>4.3214963430969062</c:v>
                </c:pt>
                <c:pt idx="39">
                  <c:v>5.7451515838522367</c:v>
                </c:pt>
                <c:pt idx="40">
                  <c:v>8.3745887170125144</c:v>
                </c:pt>
                <c:pt idx="41">
                  <c:v>7.2134254669725104</c:v>
                </c:pt>
                <c:pt idx="42">
                  <c:v>7.5468738174623367</c:v>
                </c:pt>
                <c:pt idx="43">
                  <c:v>4.4547586350034134</c:v>
                </c:pt>
                <c:pt idx="44">
                  <c:v>4.779269054730646</c:v>
                </c:pt>
                <c:pt idx="45">
                  <c:v>4.2940590824537743</c:v>
                </c:pt>
                <c:pt idx="46">
                  <c:v>3.5727582113689689</c:v>
                </c:pt>
                <c:pt idx="47">
                  <c:v>7.0607866142230362</c:v>
                </c:pt>
                <c:pt idx="48">
                  <c:v>7.8233074000395399</c:v>
                </c:pt>
                <c:pt idx="49">
                  <c:v>6.1805654065262825</c:v>
                </c:pt>
                <c:pt idx="50">
                  <c:v>6.9213926432712345</c:v>
                </c:pt>
                <c:pt idx="51">
                  <c:v>6.5252856588695458</c:v>
                </c:pt>
                <c:pt idx="52">
                  <c:v>6.5217255265138183</c:v>
                </c:pt>
                <c:pt idx="53">
                  <c:v>7.3308120893862858</c:v>
                </c:pt>
                <c:pt idx="54">
                  <c:v>1.0808839737314855</c:v>
                </c:pt>
                <c:pt idx="55">
                  <c:v>0.527032061043338</c:v>
                </c:pt>
                <c:pt idx="56">
                  <c:v>2.8512229314696911</c:v>
                </c:pt>
                <c:pt idx="57">
                  <c:v>3.8469074732442685</c:v>
                </c:pt>
                <c:pt idx="58">
                  <c:v>3.7170296616767318</c:v>
                </c:pt>
                <c:pt idx="59">
                  <c:v>3.6999741922165663</c:v>
                </c:pt>
                <c:pt idx="60">
                  <c:v>3.6289058706656427</c:v>
                </c:pt>
                <c:pt idx="61">
                  <c:v>3.1363670940005504</c:v>
                </c:pt>
                <c:pt idx="62">
                  <c:v>1.3205034315990509</c:v>
                </c:pt>
                <c:pt idx="63">
                  <c:v>0.62582086679105364</c:v>
                </c:pt>
                <c:pt idx="64">
                  <c:v>0.6226518389116088</c:v>
                </c:pt>
                <c:pt idx="65">
                  <c:v>2.106441109817843</c:v>
                </c:pt>
                <c:pt idx="66">
                  <c:v>1.9741479828469719</c:v>
                </c:pt>
                <c:pt idx="67">
                  <c:v>2.7107448152218936</c:v>
                </c:pt>
                <c:pt idx="68">
                  <c:v>2.1861739262653721</c:v>
                </c:pt>
                <c:pt idx="69">
                  <c:v>1.7279731500929416</c:v>
                </c:pt>
                <c:pt idx="70">
                  <c:v>1.2768451159556344</c:v>
                </c:pt>
                <c:pt idx="71">
                  <c:v>0.67251529628333406</c:v>
                </c:pt>
                <c:pt idx="72">
                  <c:v>1.20218926447983</c:v>
                </c:pt>
                <c:pt idx="73">
                  <c:v>1.1420264459179892</c:v>
                </c:pt>
                <c:pt idx="74">
                  <c:v>1.2993067252355934</c:v>
                </c:pt>
                <c:pt idx="75">
                  <c:v>0.67610645995033847</c:v>
                </c:pt>
                <c:pt idx="76">
                  <c:v>0.62888993610807054</c:v>
                </c:pt>
                <c:pt idx="77">
                  <c:v>1.1805746134700412</c:v>
                </c:pt>
                <c:pt idx="78">
                  <c:v>1.5658343293482313</c:v>
                </c:pt>
                <c:pt idx="79">
                  <c:v>1.3644742525609648</c:v>
                </c:pt>
                <c:pt idx="80">
                  <c:v>1.2138962532055149</c:v>
                </c:pt>
                <c:pt idx="81">
                  <c:v>1.1034547367046781</c:v>
                </c:pt>
                <c:pt idx="82">
                  <c:v>1.0188672003802499</c:v>
                </c:pt>
                <c:pt idx="83">
                  <c:v>1.1369858707026206</c:v>
                </c:pt>
                <c:pt idx="84">
                  <c:v>1.1433104201717301</c:v>
                </c:pt>
                <c:pt idx="85">
                  <c:v>1.0170010978766155</c:v>
                </c:pt>
                <c:pt idx="86">
                  <c:v>1.0057798743231083</c:v>
                </c:pt>
                <c:pt idx="87">
                  <c:v>0.63885085881271753</c:v>
                </c:pt>
                <c:pt idx="88">
                  <c:v>0.89596714621920492</c:v>
                </c:pt>
                <c:pt idx="89">
                  <c:v>1.0782847157247608</c:v>
                </c:pt>
                <c:pt idx="90">
                  <c:v>1.2098611613623591</c:v>
                </c:pt>
                <c:pt idx="91">
                  <c:v>1.2173166718982942</c:v>
                </c:pt>
                <c:pt idx="92">
                  <c:v>1.0979660205058275</c:v>
                </c:pt>
                <c:pt idx="93">
                  <c:v>0.77161524492331313</c:v>
                </c:pt>
                <c:pt idx="94">
                  <c:v>0.77968831517423098</c:v>
                </c:pt>
                <c:pt idx="95">
                  <c:v>0.97067318043318751</c:v>
                </c:pt>
                <c:pt idx="96">
                  <c:v>0.93590370133451661</c:v>
                </c:pt>
                <c:pt idx="97">
                  <c:v>0.98348217936694826</c:v>
                </c:pt>
                <c:pt idx="98">
                  <c:v>0.96193522720343327</c:v>
                </c:pt>
                <c:pt idx="99">
                  <c:v>0.78342594897218176</c:v>
                </c:pt>
                <c:pt idx="100">
                  <c:v>0.62517646023691709</c:v>
                </c:pt>
                <c:pt idx="101">
                  <c:v>0.68814898659501955</c:v>
                </c:pt>
                <c:pt idx="102">
                  <c:v>0.575243212137168</c:v>
                </c:pt>
                <c:pt idx="103">
                  <c:v>0.59812629224913649</c:v>
                </c:pt>
                <c:pt idx="104">
                  <c:v>0.75167481937931779</c:v>
                </c:pt>
                <c:pt idx="105">
                  <c:v>0.87521140308101475</c:v>
                </c:pt>
                <c:pt idx="106">
                  <c:v>0.76962763708112225</c:v>
                </c:pt>
                <c:pt idx="107">
                  <c:v>0.76976558955617347</c:v>
                </c:pt>
                <c:pt idx="108">
                  <c:v>0.89217912613230055</c:v>
                </c:pt>
                <c:pt idx="109">
                  <c:v>0.88374083510497736</c:v>
                </c:pt>
                <c:pt idx="110">
                  <c:v>0.79294317006608417</c:v>
                </c:pt>
                <c:pt idx="111">
                  <c:v>0.7635738538352741</c:v>
                </c:pt>
                <c:pt idx="112">
                  <c:v>0.81462155519360213</c:v>
                </c:pt>
                <c:pt idx="113">
                  <c:v>0.85900631507959135</c:v>
                </c:pt>
                <c:pt idx="114">
                  <c:v>0.83533192528883937</c:v>
                </c:pt>
                <c:pt idx="115">
                  <c:v>0.71251306078867616</c:v>
                </c:pt>
                <c:pt idx="116">
                  <c:v>0.80524740767448411</c:v>
                </c:pt>
                <c:pt idx="117">
                  <c:v>0.71894475899661114</c:v>
                </c:pt>
                <c:pt idx="118">
                  <c:v>0.74368930152860413</c:v>
                </c:pt>
                <c:pt idx="119">
                  <c:v>0.64262110352733182</c:v>
                </c:pt>
                <c:pt idx="120">
                  <c:v>0.74561016518117573</c:v>
                </c:pt>
                <c:pt idx="121">
                  <c:v>0.74526946036811981</c:v>
                </c:pt>
                <c:pt idx="122">
                  <c:v>0.68283717667822719</c:v>
                </c:pt>
                <c:pt idx="123">
                  <c:v>0.65594998982623165</c:v>
                </c:pt>
                <c:pt idx="124">
                  <c:v>0.71086603984013896</c:v>
                </c:pt>
                <c:pt idx="125">
                  <c:v>0.64256332248645631</c:v>
                </c:pt>
                <c:pt idx="126">
                  <c:v>0.67763488695500385</c:v>
                </c:pt>
                <c:pt idx="127">
                  <c:v>0.75780846827439707</c:v>
                </c:pt>
                <c:pt idx="128">
                  <c:v>0.7734375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72-4C1D-BA44-C2BFCE07AC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8405648"/>
        <c:axId val="2068398928"/>
      </c:lineChart>
      <c:catAx>
        <c:axId val="206840564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l-SI"/>
                  <a:t>frequency</a:t>
                </a:r>
                <a:r>
                  <a:rPr lang="sl-SI" baseline="0"/>
                  <a:t> [Hz]</a:t>
                </a:r>
                <a:endParaRPr lang="sl-SI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2068398928"/>
        <c:crosses val="autoZero"/>
        <c:auto val="1"/>
        <c:lblAlgn val="ctr"/>
        <c:lblOffset val="100"/>
        <c:noMultiLvlLbl val="0"/>
      </c:catAx>
      <c:valAx>
        <c:axId val="2068398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l-SI"/>
                  <a:t>Signal</a:t>
                </a:r>
                <a:r>
                  <a:rPr lang="sl-SI" baseline="0"/>
                  <a:t> magnitude</a:t>
                </a:r>
                <a:endParaRPr lang="sl-SI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20684056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l-SI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sl-SI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4"/>
          <c:order val="0"/>
          <c:tx>
            <c:strRef>
              <c:f>'Digital signal processing'!$AF$18</c:f>
              <c:strCache>
                <c:ptCount val="1"/>
                <c:pt idx="0">
                  <c:v>Filter value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'Digital signal processing'!$AA$20:$AA$40</c:f>
              <c:numCache>
                <c:formatCode>General</c:formatCode>
                <c:ptCount val="21"/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  <c:pt idx="13">
                  <c:v>12</c:v>
                </c:pt>
                <c:pt idx="14">
                  <c:v>13</c:v>
                </c:pt>
                <c:pt idx="15">
                  <c:v>14</c:v>
                </c:pt>
                <c:pt idx="16">
                  <c:v>15</c:v>
                </c:pt>
                <c:pt idx="17">
                  <c:v>16</c:v>
                </c:pt>
                <c:pt idx="18">
                  <c:v>17</c:v>
                </c:pt>
                <c:pt idx="19">
                  <c:v>18</c:v>
                </c:pt>
                <c:pt idx="20">
                  <c:v>19</c:v>
                </c:pt>
              </c:numCache>
            </c:numRef>
          </c:cat>
          <c:val>
            <c:numRef>
              <c:f>'Digital signal processing'!$AF$20:$AF$40</c:f>
              <c:numCache>
                <c:formatCode>#,##0.00</c:formatCode>
                <c:ptCount val="21"/>
                <c:pt idx="1">
                  <c:v>10.825782403176417</c:v>
                </c:pt>
                <c:pt idx="2">
                  <c:v>13.455606520882544</c:v>
                </c:pt>
                <c:pt idx="3">
                  <c:v>11.245003640212946</c:v>
                </c:pt>
                <c:pt idx="4">
                  <c:v>22.685974348292479</c:v>
                </c:pt>
                <c:pt idx="5">
                  <c:v>40.341883732139614</c:v>
                </c:pt>
                <c:pt idx="6">
                  <c:v>93.80403866840436</c:v>
                </c:pt>
                <c:pt idx="7">
                  <c:v>64.355608776026031</c:v>
                </c:pt>
                <c:pt idx="8">
                  <c:v>28.165710269429802</c:v>
                </c:pt>
                <c:pt idx="9">
                  <c:v>22.406882159166795</c:v>
                </c:pt>
                <c:pt idx="10">
                  <c:v>23.284969222323866</c:v>
                </c:pt>
                <c:pt idx="11">
                  <c:v>48.092251026609702</c:v>
                </c:pt>
                <c:pt idx="12">
                  <c:v>43.058851882691528</c:v>
                </c:pt>
                <c:pt idx="13">
                  <c:v>38.168849381761419</c:v>
                </c:pt>
                <c:pt idx="14">
                  <c:v>40.543105437089082</c:v>
                </c:pt>
                <c:pt idx="15">
                  <c:v>42.339614155483872</c:v>
                </c:pt>
                <c:pt idx="16">
                  <c:v>36.256842604953057</c:v>
                </c:pt>
                <c:pt idx="17">
                  <c:v>23.862676744502725</c:v>
                </c:pt>
                <c:pt idx="18">
                  <c:v>16.674157622527765</c:v>
                </c:pt>
                <c:pt idx="19">
                  <c:v>13.66638043749041</c:v>
                </c:pt>
                <c:pt idx="20">
                  <c:v>13.886951346394277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F9-487E-A300-D97B8B3C3F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1"/>
        <c:overlap val="-27"/>
        <c:axId val="1958698016"/>
        <c:axId val="1958698496"/>
      </c:barChart>
      <c:catAx>
        <c:axId val="1958698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1958698496"/>
        <c:crosses val="autoZero"/>
        <c:auto val="1"/>
        <c:lblAlgn val="ctr"/>
        <c:lblOffset val="100"/>
        <c:noMultiLvlLbl val="0"/>
      </c:catAx>
      <c:valAx>
        <c:axId val="1958698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l-SI"/>
                  <a:t>Mel</a:t>
                </a:r>
                <a:r>
                  <a:rPr lang="sl-SI" baseline="0"/>
                  <a:t> filters</a:t>
                </a:r>
                <a:endParaRPr lang="sl-SI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19586980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l-SI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sl-SI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'Digital signal processing'!$AJ$21:$AJ$33</c:f>
              <c:numCache>
                <c:formatCode>General</c:formatCode>
                <c:ptCount val="13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</c:numCache>
            </c:numRef>
          </c:cat>
          <c:val>
            <c:numRef>
              <c:f>'Digital signal processing'!$AN$21:$AN$33</c:f>
              <c:numCache>
                <c:formatCode>0.000</c:formatCode>
                <c:ptCount val="13"/>
                <c:pt idx="0">
                  <c:v>6.4161165504029034</c:v>
                </c:pt>
                <c:pt idx="1">
                  <c:v>-2.1547318650845328E-2</c:v>
                </c:pt>
                <c:pt idx="2">
                  <c:v>-0.76432651261808571</c:v>
                </c:pt>
                <c:pt idx="3">
                  <c:v>-9.903319856993982E-2</c:v>
                </c:pt>
                <c:pt idx="4">
                  <c:v>-0.62999209034362813</c:v>
                </c:pt>
                <c:pt idx="5">
                  <c:v>-0.19592280219786837</c:v>
                </c:pt>
                <c:pt idx="6">
                  <c:v>0.16387207086558139</c:v>
                </c:pt>
                <c:pt idx="7">
                  <c:v>0.33458802040046126</c:v>
                </c:pt>
                <c:pt idx="8">
                  <c:v>0.2762154614919573</c:v>
                </c:pt>
                <c:pt idx="9">
                  <c:v>-0.14025160555356012</c:v>
                </c:pt>
                <c:pt idx="10">
                  <c:v>-0.11417817007679382</c:v>
                </c:pt>
                <c:pt idx="11">
                  <c:v>-1.5331346581145579E-2</c:v>
                </c:pt>
                <c:pt idx="12">
                  <c:v>-1.4885237136930534E-2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AE-40EF-8E8A-3F0C74821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73021679"/>
        <c:axId val="2073024079"/>
      </c:barChart>
      <c:catAx>
        <c:axId val="20730216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2073024079"/>
        <c:crosses val="autoZero"/>
        <c:auto val="1"/>
        <c:lblAlgn val="ctr"/>
        <c:lblOffset val="100"/>
        <c:noMultiLvlLbl val="0"/>
      </c:catAx>
      <c:valAx>
        <c:axId val="2073024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20730216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l-SI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6" Type="http://schemas.openxmlformats.org/officeDocument/2006/relationships/chart" Target="../charts/chart5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17972</xdr:colOff>
      <xdr:row>4</xdr:row>
      <xdr:rowOff>7067</xdr:rowOff>
    </xdr:from>
    <xdr:to>
      <xdr:col>4</xdr:col>
      <xdr:colOff>874622</xdr:colOff>
      <xdr:row>11</xdr:row>
      <xdr:rowOff>173727</xdr:rowOff>
    </xdr:to>
    <xdr:graphicFrame macro="">
      <xdr:nvGraphicFramePr>
        <xdr:cNvPr id="19" name="Grafikon 18">
          <a:extLst>
            <a:ext uri="{FF2B5EF4-FFF2-40B4-BE49-F238E27FC236}">
              <a16:creationId xmlns:a16="http://schemas.microsoft.com/office/drawing/2014/main" id="{90FDC343-46E2-4AE1-A19F-F446D10B73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</xdr:col>
      <xdr:colOff>14330</xdr:colOff>
      <xdr:row>5</xdr:row>
      <xdr:rowOff>146128</xdr:rowOff>
    </xdr:from>
    <xdr:to>
      <xdr:col>14</xdr:col>
      <xdr:colOff>707787</xdr:colOff>
      <xdr:row>9</xdr:row>
      <xdr:rowOff>132350</xdr:rowOff>
    </xdr:to>
    <xdr:pic>
      <xdr:nvPicPr>
        <xdr:cNvPr id="3" name="Slika 2">
          <a:extLst>
            <a:ext uri="{FF2B5EF4-FFF2-40B4-BE49-F238E27FC236}">
              <a16:creationId xmlns:a16="http://schemas.microsoft.com/office/drawing/2014/main" id="{A36A94F4-01E9-407D-AACC-A2B4FCA7C1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971075" y="1122590"/>
          <a:ext cx="1945485" cy="705090"/>
        </a:xfrm>
        <a:prstGeom prst="rect">
          <a:avLst/>
        </a:prstGeom>
      </xdr:spPr>
    </xdr:pic>
    <xdr:clientData/>
  </xdr:twoCellAnchor>
  <xdr:twoCellAnchor>
    <xdr:from>
      <xdr:col>5</xdr:col>
      <xdr:colOff>203677</xdr:colOff>
      <xdr:row>4</xdr:row>
      <xdr:rowOff>11981</xdr:rowOff>
    </xdr:from>
    <xdr:to>
      <xdr:col>9</xdr:col>
      <xdr:colOff>605047</xdr:colOff>
      <xdr:row>12</xdr:row>
      <xdr:rowOff>5991</xdr:rowOff>
    </xdr:to>
    <xdr:graphicFrame macro="">
      <xdr:nvGraphicFramePr>
        <xdr:cNvPr id="9" name="Grafikon 8">
          <a:extLst>
            <a:ext uri="{FF2B5EF4-FFF2-40B4-BE49-F238E27FC236}">
              <a16:creationId xmlns:a16="http://schemas.microsoft.com/office/drawing/2014/main" id="{B2593D66-36B5-461F-B930-70D6BDE5E7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383397</xdr:colOff>
      <xdr:row>4</xdr:row>
      <xdr:rowOff>17973</xdr:rowOff>
    </xdr:from>
    <xdr:to>
      <xdr:col>20</xdr:col>
      <xdr:colOff>443303</xdr:colOff>
      <xdr:row>12</xdr:row>
      <xdr:rowOff>0</xdr:rowOff>
    </xdr:to>
    <xdr:graphicFrame macro="">
      <xdr:nvGraphicFramePr>
        <xdr:cNvPr id="10" name="Grafikon 9">
          <a:extLst>
            <a:ext uri="{FF2B5EF4-FFF2-40B4-BE49-F238E27FC236}">
              <a16:creationId xmlns:a16="http://schemas.microsoft.com/office/drawing/2014/main" id="{7283B0D9-AF18-4789-ABDC-B427DE79E1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26</xdr:col>
      <xdr:colOff>0</xdr:colOff>
      <xdr:row>4</xdr:row>
      <xdr:rowOff>0</xdr:rowOff>
    </xdr:from>
    <xdr:to>
      <xdr:col>32</xdr:col>
      <xdr:colOff>599056</xdr:colOff>
      <xdr:row>11</xdr:row>
      <xdr:rowOff>0</xdr:rowOff>
    </xdr:to>
    <xdr:graphicFrame macro="">
      <xdr:nvGraphicFramePr>
        <xdr:cNvPr id="11" name="Grafikon 10">
          <a:extLst>
            <a:ext uri="{FF2B5EF4-FFF2-40B4-BE49-F238E27FC236}">
              <a16:creationId xmlns:a16="http://schemas.microsoft.com/office/drawing/2014/main" id="{C774878B-F4FE-4B1A-8544-F1B23A79D5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39</xdr:col>
      <xdr:colOff>11983</xdr:colOff>
      <xdr:row>4</xdr:row>
      <xdr:rowOff>23963</xdr:rowOff>
    </xdr:from>
    <xdr:to>
      <xdr:col>43</xdr:col>
      <xdr:colOff>1</xdr:colOff>
      <xdr:row>11</xdr:row>
      <xdr:rowOff>35944</xdr:rowOff>
    </xdr:to>
    <xdr:graphicFrame macro="">
      <xdr:nvGraphicFramePr>
        <xdr:cNvPr id="12" name="Grafikon 11">
          <a:extLst>
            <a:ext uri="{FF2B5EF4-FFF2-40B4-BE49-F238E27FC236}">
              <a16:creationId xmlns:a16="http://schemas.microsoft.com/office/drawing/2014/main" id="{E246F531-967A-48EA-A378-D4FF2DCF2A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ova tema">
  <a:themeElements>
    <a:clrScheme name="Pisarna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Pisarna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isarn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0135F-21A5-4A29-B007-EE39A0AB37C8}">
  <dimension ref="A1:DJ275"/>
  <sheetViews>
    <sheetView tabSelected="1" zoomScale="106" zoomScaleNormal="115" workbookViewId="0"/>
  </sheetViews>
  <sheetFormatPr defaultRowHeight="14.5" x14ac:dyDescent="0.35"/>
  <cols>
    <col min="1" max="1" width="11.7265625" customWidth="1"/>
    <col min="2" max="2" width="10.54296875" customWidth="1"/>
    <col min="3" max="3" width="8.1796875" customWidth="1"/>
    <col min="4" max="4" width="9.81640625" customWidth="1"/>
    <col min="5" max="5" width="12.54296875" style="5" customWidth="1"/>
    <col min="7" max="7" width="8.26953125" customWidth="1"/>
    <col min="8" max="8" width="9" customWidth="1"/>
    <col min="9" max="9" width="8.26953125" customWidth="1"/>
    <col min="10" max="10" width="8.81640625" customWidth="1"/>
    <col min="11" max="11" width="9.7265625" customWidth="1"/>
    <col min="12" max="13" width="9.1796875" customWidth="1"/>
    <col min="15" max="15" width="10.453125" customWidth="1"/>
    <col min="16" max="16" width="9.6328125" customWidth="1"/>
    <col min="18" max="19" width="9.26953125" customWidth="1"/>
    <col min="20" max="20" width="9.7265625" customWidth="1"/>
    <col min="22" max="22" width="9.453125" customWidth="1"/>
    <col min="23" max="23" width="7.7265625" customWidth="1"/>
    <col min="24" max="24" width="9.90625" customWidth="1"/>
    <col min="25" max="26" width="10.26953125" customWidth="1"/>
    <col min="28" max="28" width="7" customWidth="1"/>
    <col min="29" max="29" width="6.26953125" customWidth="1"/>
    <col min="30" max="30" width="6.453125" customWidth="1"/>
    <col min="31" max="31" width="6.54296875" customWidth="1"/>
    <col min="35" max="35" width="9.81640625" bestFit="1" customWidth="1"/>
    <col min="36" max="36" width="9.453125" bestFit="1" customWidth="1"/>
    <col min="40" max="40" width="11.08984375" customWidth="1"/>
  </cols>
  <sheetData>
    <row r="1" spans="1:114" x14ac:dyDescent="0.35">
      <c r="A1" t="s">
        <v>24</v>
      </c>
    </row>
    <row r="3" spans="1:114" ht="15.5" customHeight="1" x14ac:dyDescent="0.35">
      <c r="A3" s="14" t="s">
        <v>23</v>
      </c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  <c r="AD3" s="39"/>
      <c r="AE3" s="39"/>
      <c r="AF3" s="39"/>
      <c r="AG3" s="39"/>
      <c r="AH3" s="39"/>
      <c r="AI3" s="39"/>
      <c r="AJ3" s="39"/>
      <c r="AK3" s="39"/>
      <c r="AL3" s="39"/>
      <c r="AM3" s="39"/>
      <c r="AN3" s="39"/>
      <c r="AO3" s="39"/>
      <c r="AP3" s="39"/>
      <c r="AQ3" s="39"/>
      <c r="AR3" s="39"/>
      <c r="AS3" s="39"/>
      <c r="AT3" s="39"/>
      <c r="AU3" s="39"/>
      <c r="AV3" s="39"/>
      <c r="AW3" s="39"/>
      <c r="AX3" s="39"/>
      <c r="AY3" s="39"/>
      <c r="AZ3" s="39"/>
      <c r="BA3" s="39"/>
      <c r="BB3" s="39"/>
      <c r="BC3" s="39"/>
      <c r="BD3" s="39"/>
      <c r="BE3" s="39"/>
      <c r="BF3" s="39"/>
      <c r="BG3" s="39"/>
      <c r="BH3" s="39"/>
      <c r="BI3" s="39"/>
      <c r="BJ3" s="39"/>
      <c r="BK3" s="39"/>
      <c r="BL3" s="39"/>
      <c r="BM3" s="39"/>
      <c r="BN3" s="39"/>
      <c r="BO3" s="39"/>
      <c r="BP3" s="39"/>
      <c r="BQ3" s="39"/>
      <c r="BR3" s="39"/>
      <c r="BS3" s="39"/>
      <c r="BT3" s="39"/>
      <c r="BU3" s="39"/>
      <c r="BV3" s="39"/>
      <c r="BW3" s="39"/>
      <c r="BX3" s="39"/>
      <c r="BY3" s="39"/>
      <c r="BZ3" s="39"/>
      <c r="CA3" s="39"/>
      <c r="CB3" s="39"/>
      <c r="CC3" s="39"/>
      <c r="CD3" s="39"/>
      <c r="CE3" s="39"/>
      <c r="CF3" s="39"/>
      <c r="CG3" s="39"/>
      <c r="CH3" s="39"/>
      <c r="CI3" s="39"/>
      <c r="CJ3" s="39"/>
      <c r="CK3" s="39"/>
      <c r="CL3" s="39"/>
      <c r="CM3" s="39"/>
      <c r="CN3" s="39"/>
      <c r="CO3" s="39"/>
      <c r="CP3" s="39"/>
      <c r="CQ3" s="39"/>
      <c r="CR3" s="39"/>
      <c r="CS3" s="39"/>
      <c r="CT3" s="39"/>
      <c r="CU3" s="39"/>
      <c r="CV3" s="39"/>
      <c r="CW3" s="39"/>
      <c r="CX3" s="39"/>
      <c r="CY3" s="39"/>
      <c r="CZ3" s="39"/>
      <c r="DA3" s="39"/>
      <c r="DB3" s="39"/>
      <c r="DC3" s="39"/>
      <c r="DD3" s="39"/>
      <c r="DE3" s="39"/>
      <c r="DF3" s="39"/>
      <c r="DG3" s="39"/>
      <c r="DH3" s="39"/>
      <c r="DI3" s="39"/>
      <c r="DJ3" s="39"/>
    </row>
    <row r="4" spans="1:114" ht="18" customHeight="1" x14ac:dyDescent="0.35">
      <c r="A4" s="73" t="s">
        <v>56</v>
      </c>
      <c r="B4" s="79" t="s">
        <v>43</v>
      </c>
      <c r="C4" s="79"/>
      <c r="D4" s="79"/>
      <c r="E4" s="7"/>
      <c r="F4" s="79" t="s">
        <v>44</v>
      </c>
      <c r="G4" s="79"/>
      <c r="H4" s="79"/>
      <c r="I4" s="79"/>
      <c r="J4" s="79"/>
      <c r="K4" s="7"/>
      <c r="L4" s="79" t="s">
        <v>25</v>
      </c>
      <c r="M4" s="79"/>
      <c r="N4" s="79"/>
      <c r="O4" s="79"/>
      <c r="P4" s="79"/>
      <c r="Q4" s="7"/>
      <c r="R4" s="79" t="s">
        <v>45</v>
      </c>
      <c r="S4" s="79"/>
      <c r="T4" s="79"/>
      <c r="U4" s="7"/>
      <c r="V4" s="78" t="s">
        <v>40</v>
      </c>
      <c r="W4" s="78"/>
      <c r="X4" s="78"/>
      <c r="Y4" s="78"/>
      <c r="Z4" s="7"/>
      <c r="AA4" s="78" t="s">
        <v>41</v>
      </c>
      <c r="AB4" s="78"/>
      <c r="AC4" s="78"/>
      <c r="AD4" s="78"/>
      <c r="AE4" s="78"/>
      <c r="AF4" s="78"/>
      <c r="AG4" s="55"/>
      <c r="AH4" s="7"/>
      <c r="AI4" s="77" t="s">
        <v>52</v>
      </c>
      <c r="AJ4" s="77"/>
      <c r="AK4" s="77"/>
      <c r="AL4" s="77"/>
      <c r="AM4" s="68"/>
      <c r="AN4" s="70" t="s">
        <v>51</v>
      </c>
      <c r="AO4" s="68"/>
      <c r="AP4" s="68"/>
      <c r="AQ4" s="68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  <c r="BN4" s="7"/>
      <c r="BO4" s="7"/>
      <c r="BP4" s="7"/>
      <c r="BQ4" s="7"/>
      <c r="BR4" s="7"/>
      <c r="BS4" s="7"/>
      <c r="BT4" s="7"/>
      <c r="BU4" s="7"/>
      <c r="BV4" s="7"/>
      <c r="BW4" s="7"/>
      <c r="BX4" s="7"/>
      <c r="BY4" s="7"/>
      <c r="BZ4" s="7"/>
      <c r="CA4" s="7"/>
      <c r="CB4" s="7"/>
      <c r="CC4" s="7"/>
      <c r="CD4" s="7"/>
      <c r="CE4" s="7"/>
      <c r="CF4" s="7"/>
      <c r="CG4" s="7"/>
      <c r="CH4" s="7"/>
      <c r="CI4" s="7"/>
      <c r="CJ4" s="7"/>
      <c r="CK4" s="7"/>
      <c r="CL4" s="7"/>
      <c r="CM4" s="7"/>
      <c r="CN4" s="7"/>
      <c r="CO4" s="7"/>
      <c r="CP4" s="7"/>
      <c r="CQ4" s="7"/>
      <c r="CR4" s="7"/>
      <c r="CS4" s="7"/>
      <c r="CT4" s="7"/>
      <c r="CU4" s="7"/>
      <c r="CV4" s="7"/>
      <c r="CW4" s="7"/>
      <c r="CX4" s="7"/>
      <c r="CY4" s="7"/>
      <c r="CZ4" s="7"/>
      <c r="DA4" s="7"/>
      <c r="DB4" s="7"/>
      <c r="DC4" s="7"/>
      <c r="DD4" s="7"/>
      <c r="DE4" s="7"/>
      <c r="DF4" s="7"/>
      <c r="DG4" s="7"/>
      <c r="DH4" s="7"/>
      <c r="DI4" s="7"/>
      <c r="DJ4" s="7"/>
    </row>
    <row r="5" spans="1:114" ht="14" customHeight="1" x14ac:dyDescent="0.35">
      <c r="A5" s="73"/>
      <c r="B5" s="41"/>
      <c r="C5" s="41"/>
      <c r="D5" s="41"/>
      <c r="E5" s="7"/>
      <c r="F5" s="41"/>
      <c r="G5" s="41"/>
      <c r="H5" s="41"/>
      <c r="I5" s="41"/>
      <c r="J5" s="41"/>
      <c r="K5" s="7"/>
      <c r="L5" s="41"/>
      <c r="M5" s="41"/>
      <c r="N5" s="41"/>
      <c r="O5" s="41"/>
      <c r="P5" s="41"/>
      <c r="Q5" s="7"/>
      <c r="R5" s="41"/>
      <c r="S5" s="41"/>
      <c r="T5" s="41"/>
      <c r="U5" s="7"/>
      <c r="V5" s="55"/>
      <c r="W5" s="55"/>
      <c r="X5" s="55"/>
      <c r="Y5" s="55"/>
      <c r="Z5" s="7"/>
      <c r="AA5" s="55"/>
      <c r="AB5" s="55"/>
      <c r="AC5" s="55"/>
      <c r="AD5" s="55"/>
      <c r="AE5" s="55"/>
      <c r="AF5" s="55"/>
      <c r="AG5" s="55"/>
      <c r="AH5" s="7"/>
      <c r="AI5" s="75" t="s">
        <v>53</v>
      </c>
      <c r="AJ5" s="75"/>
      <c r="AK5" s="75"/>
      <c r="AL5" s="75"/>
      <c r="AM5" s="65"/>
      <c r="AN5" s="7"/>
      <c r="AO5" s="7"/>
      <c r="AP5" s="7"/>
      <c r="AQ5" s="7"/>
      <c r="AR5" s="7"/>
      <c r="AS5" s="7"/>
      <c r="AT5" s="7"/>
      <c r="AU5" s="7"/>
      <c r="AV5" s="7"/>
      <c r="AW5" s="7"/>
      <c r="AX5" s="7"/>
      <c r="AY5" s="7"/>
      <c r="AZ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  <c r="BN5" s="7"/>
      <c r="BO5" s="7"/>
      <c r="BP5" s="7"/>
      <c r="BQ5" s="7"/>
      <c r="BR5" s="7"/>
      <c r="BS5" s="7"/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</row>
    <row r="6" spans="1:114" ht="14" customHeight="1" x14ac:dyDescent="0.35">
      <c r="A6" s="73"/>
      <c r="B6" s="41"/>
      <c r="C6" s="41"/>
      <c r="D6" s="41"/>
      <c r="E6" s="7"/>
      <c r="F6" s="41"/>
      <c r="G6" s="41"/>
      <c r="H6" s="41"/>
      <c r="I6" s="41"/>
      <c r="J6" s="41"/>
      <c r="K6" s="7"/>
      <c r="L6" s="41"/>
      <c r="M6" s="41"/>
      <c r="N6" s="41"/>
      <c r="O6" s="41"/>
      <c r="P6" s="41"/>
      <c r="Q6" s="7"/>
      <c r="R6" s="41"/>
      <c r="S6" s="41"/>
      <c r="T6" s="41"/>
      <c r="U6" s="7"/>
      <c r="V6" s="55"/>
      <c r="W6" s="55"/>
      <c r="X6" s="55"/>
      <c r="Y6" s="55"/>
      <c r="Z6" s="7"/>
      <c r="AA6" s="55"/>
      <c r="AB6" s="55"/>
      <c r="AC6" s="55"/>
      <c r="AD6" s="55"/>
      <c r="AE6" s="55"/>
      <c r="AF6" s="55"/>
      <c r="AG6" s="55"/>
      <c r="AH6" s="7"/>
      <c r="AI6" s="75"/>
      <c r="AJ6" s="75"/>
      <c r="AK6" s="75"/>
      <c r="AL6" s="75"/>
      <c r="AM6" s="65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7"/>
      <c r="BO6" s="7"/>
      <c r="BP6" s="7"/>
      <c r="BQ6" s="7"/>
      <c r="BR6" s="7"/>
      <c r="BS6" s="7"/>
      <c r="BT6" s="7"/>
      <c r="BU6" s="7"/>
      <c r="BV6" s="7"/>
      <c r="BW6" s="7"/>
      <c r="BX6" s="7"/>
      <c r="BY6" s="7"/>
      <c r="BZ6" s="7"/>
      <c r="CA6" s="7"/>
      <c r="CB6" s="7"/>
      <c r="CC6" s="7"/>
      <c r="CD6" s="7"/>
      <c r="CE6" s="7"/>
      <c r="CF6" s="7"/>
      <c r="CG6" s="7"/>
      <c r="CH6" s="7"/>
      <c r="CI6" s="7"/>
      <c r="CJ6" s="7"/>
      <c r="CK6" s="7"/>
      <c r="CL6" s="7"/>
      <c r="CM6" s="7"/>
      <c r="CN6" s="7"/>
      <c r="CO6" s="7"/>
      <c r="CP6" s="7"/>
      <c r="CQ6" s="7"/>
      <c r="CR6" s="7"/>
      <c r="CS6" s="7"/>
      <c r="CT6" s="7"/>
      <c r="CU6" s="7"/>
      <c r="CV6" s="7"/>
      <c r="CW6" s="7"/>
      <c r="CX6" s="7"/>
      <c r="CY6" s="7"/>
      <c r="CZ6" s="7"/>
      <c r="DA6" s="7"/>
      <c r="DB6" s="7"/>
      <c r="DC6" s="7"/>
      <c r="DD6" s="7"/>
      <c r="DE6" s="7"/>
      <c r="DF6" s="7"/>
      <c r="DG6" s="7"/>
      <c r="DH6" s="7"/>
      <c r="DI6" s="7"/>
      <c r="DJ6" s="7"/>
    </row>
    <row r="7" spans="1:114" ht="14" customHeight="1" x14ac:dyDescent="0.35">
      <c r="A7" s="73"/>
      <c r="B7" s="41"/>
      <c r="C7" s="41"/>
      <c r="D7" s="41"/>
      <c r="E7" s="7"/>
      <c r="F7" s="41"/>
      <c r="G7" s="41"/>
      <c r="H7" s="41"/>
      <c r="I7" s="41"/>
      <c r="J7" s="41"/>
      <c r="K7" s="7"/>
      <c r="L7" s="41"/>
      <c r="M7" s="41"/>
      <c r="N7" s="41"/>
      <c r="O7" s="41"/>
      <c r="P7" s="41"/>
      <c r="Q7" s="7"/>
      <c r="R7" s="41"/>
      <c r="S7" s="41"/>
      <c r="T7" s="41"/>
      <c r="U7" s="7"/>
      <c r="V7" s="55"/>
      <c r="W7" s="55"/>
      <c r="X7" s="55"/>
      <c r="Y7" s="55"/>
      <c r="Z7" s="7"/>
      <c r="AA7" s="55"/>
      <c r="AB7" s="55"/>
      <c r="AC7" s="55"/>
      <c r="AD7" s="55"/>
      <c r="AE7" s="55"/>
      <c r="AF7" s="55"/>
      <c r="AG7" s="55"/>
      <c r="AH7" s="7"/>
      <c r="AI7" s="75"/>
      <c r="AJ7" s="75"/>
      <c r="AK7" s="75"/>
      <c r="AL7" s="75"/>
      <c r="AM7" s="65"/>
      <c r="AN7" s="7"/>
      <c r="AW7" s="7"/>
      <c r="AX7" s="7"/>
      <c r="AY7" s="7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  <c r="BN7" s="7"/>
      <c r="BO7" s="7"/>
      <c r="BP7" s="7"/>
      <c r="BQ7" s="7"/>
      <c r="BR7" s="7"/>
      <c r="BS7" s="7"/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</row>
    <row r="8" spans="1:114" ht="14" customHeight="1" x14ac:dyDescent="0.35">
      <c r="A8" s="73"/>
      <c r="B8" s="41"/>
      <c r="C8" s="41"/>
      <c r="D8" s="41"/>
      <c r="E8" s="7"/>
      <c r="F8" s="41"/>
      <c r="G8" s="41"/>
      <c r="H8" s="41"/>
      <c r="I8" s="41"/>
      <c r="J8" s="41"/>
      <c r="K8" s="7"/>
      <c r="L8" s="41"/>
      <c r="M8" s="41"/>
      <c r="N8" s="41"/>
      <c r="O8" s="41"/>
      <c r="P8" s="41"/>
      <c r="Q8" s="7"/>
      <c r="R8" s="41"/>
      <c r="S8" s="41"/>
      <c r="T8" s="41"/>
      <c r="U8" s="7"/>
      <c r="V8" s="55"/>
      <c r="W8" s="55"/>
      <c r="X8" s="55"/>
      <c r="Y8" s="55"/>
      <c r="Z8" s="7"/>
      <c r="AA8" s="55"/>
      <c r="AB8" s="55"/>
      <c r="AC8" s="55"/>
      <c r="AD8" s="55"/>
      <c r="AE8" s="55"/>
      <c r="AF8" s="55"/>
      <c r="AG8" s="55"/>
      <c r="AH8" s="7"/>
      <c r="AI8" s="75"/>
      <c r="AJ8" s="75"/>
      <c r="AK8" s="75"/>
      <c r="AL8" s="75"/>
      <c r="AM8" s="65"/>
      <c r="AN8" s="7"/>
      <c r="AW8" s="7"/>
      <c r="AX8" s="7"/>
      <c r="AY8" s="7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  <c r="BN8" s="7"/>
      <c r="BO8" s="7"/>
      <c r="BP8" s="7"/>
      <c r="BQ8" s="7"/>
      <c r="BR8" s="7"/>
      <c r="BS8" s="7"/>
      <c r="BT8" s="7"/>
      <c r="BU8" s="7"/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</row>
    <row r="9" spans="1:114" ht="14" customHeight="1" x14ac:dyDescent="0.35">
      <c r="A9" s="73"/>
      <c r="B9" s="41"/>
      <c r="C9" s="41"/>
      <c r="D9" s="41"/>
      <c r="E9" s="7"/>
      <c r="F9" s="41"/>
      <c r="G9" s="41"/>
      <c r="H9" s="41"/>
      <c r="I9" s="41"/>
      <c r="J9" s="41"/>
      <c r="K9" s="7"/>
      <c r="L9" s="41"/>
      <c r="M9" s="41"/>
      <c r="N9" s="41"/>
      <c r="O9" s="41"/>
      <c r="P9" s="41"/>
      <c r="Q9" s="7"/>
      <c r="R9" s="41"/>
      <c r="S9" s="41"/>
      <c r="T9" s="41"/>
      <c r="U9" s="7"/>
      <c r="V9" s="55"/>
      <c r="W9" s="55"/>
      <c r="X9" s="55"/>
      <c r="Y9" s="55"/>
      <c r="Z9" s="7"/>
      <c r="AA9" s="55"/>
      <c r="AB9" s="55"/>
      <c r="AC9" s="55"/>
      <c r="AD9" s="55"/>
      <c r="AE9" s="55"/>
      <c r="AF9" s="55"/>
      <c r="AG9" s="55"/>
      <c r="AH9" s="7"/>
      <c r="AI9" s="75"/>
      <c r="AJ9" s="75"/>
      <c r="AK9" s="75"/>
      <c r="AL9" s="75"/>
      <c r="AM9" s="65"/>
      <c r="AN9" s="7"/>
      <c r="AW9" s="7"/>
      <c r="AX9" s="7"/>
      <c r="AY9" s="7"/>
      <c r="AZ9" s="7"/>
      <c r="BA9" s="7"/>
      <c r="BB9" s="7"/>
      <c r="BC9" s="7"/>
      <c r="BD9" s="7"/>
      <c r="BE9" s="7"/>
      <c r="BF9" s="7"/>
      <c r="BG9" s="7"/>
      <c r="BH9" s="7"/>
      <c r="BI9" s="7"/>
      <c r="BJ9" s="7"/>
      <c r="BK9" s="7"/>
      <c r="BL9" s="7"/>
      <c r="BM9" s="7"/>
      <c r="BN9" s="7"/>
      <c r="BO9" s="7"/>
      <c r="BP9" s="7"/>
      <c r="BQ9" s="7"/>
      <c r="BR9" s="7"/>
      <c r="BS9" s="7"/>
      <c r="BT9" s="7"/>
      <c r="BU9" s="7"/>
      <c r="BV9" s="7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</row>
    <row r="10" spans="1:114" ht="14" customHeight="1" x14ac:dyDescent="0.35">
      <c r="A10" s="73"/>
      <c r="B10" s="41"/>
      <c r="C10" s="41"/>
      <c r="D10" s="41"/>
      <c r="E10" s="7"/>
      <c r="F10" s="41"/>
      <c r="G10" s="41"/>
      <c r="H10" s="41"/>
      <c r="I10" s="41"/>
      <c r="J10" s="41"/>
      <c r="K10" s="7"/>
      <c r="L10" s="41"/>
      <c r="M10" s="41"/>
      <c r="N10" s="41"/>
      <c r="O10" s="41"/>
      <c r="P10" s="41"/>
      <c r="Q10" s="7"/>
      <c r="R10" s="41"/>
      <c r="S10" s="41"/>
      <c r="T10" s="41"/>
      <c r="U10" s="7"/>
      <c r="V10" s="55"/>
      <c r="W10" s="55"/>
      <c r="X10" s="55"/>
      <c r="Y10" s="55"/>
      <c r="Z10" s="7"/>
      <c r="AA10" s="55"/>
      <c r="AB10" s="55"/>
      <c r="AC10" s="55"/>
      <c r="AD10" s="55"/>
      <c r="AE10" s="55"/>
      <c r="AF10" s="55"/>
      <c r="AG10" s="55"/>
      <c r="AH10" s="7"/>
      <c r="AI10" s="75"/>
      <c r="AJ10" s="75"/>
      <c r="AK10" s="75"/>
      <c r="AL10" s="75"/>
      <c r="AM10" s="65"/>
      <c r="AN10" s="7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7"/>
      <c r="BN10" s="7"/>
      <c r="BO10" s="7"/>
      <c r="BP10" s="7"/>
      <c r="BQ10" s="7"/>
      <c r="BR10" s="7"/>
      <c r="BS10" s="7"/>
      <c r="BT10" s="7"/>
      <c r="BU10" s="7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</row>
    <row r="11" spans="1:114" ht="14" customHeight="1" x14ac:dyDescent="0.35">
      <c r="A11" s="73"/>
      <c r="B11" s="41"/>
      <c r="C11" s="41"/>
      <c r="D11" s="41"/>
      <c r="E11" s="7"/>
      <c r="F11" s="41"/>
      <c r="G11" s="41"/>
      <c r="H11" s="41"/>
      <c r="I11" s="41"/>
      <c r="J11" s="41"/>
      <c r="K11" s="7"/>
      <c r="L11" s="41"/>
      <c r="M11" s="41"/>
      <c r="N11" s="41"/>
      <c r="O11" s="41"/>
      <c r="P11" s="41"/>
      <c r="Q11" s="7"/>
      <c r="R11" s="41"/>
      <c r="S11" s="41"/>
      <c r="T11" s="41"/>
      <c r="U11" s="7"/>
      <c r="V11" s="55"/>
      <c r="W11" s="55"/>
      <c r="X11" s="55"/>
      <c r="Y11" s="55"/>
      <c r="Z11" s="7"/>
      <c r="AA11" s="55"/>
      <c r="AB11" s="55"/>
      <c r="AC11" s="55"/>
      <c r="AD11" s="55"/>
      <c r="AE11" s="55"/>
      <c r="AF11" s="55"/>
      <c r="AG11" s="55"/>
      <c r="AH11" s="7"/>
      <c r="AI11" s="75"/>
      <c r="AJ11" s="75"/>
      <c r="AK11" s="75"/>
      <c r="AL11" s="75"/>
      <c r="AM11" s="65"/>
      <c r="AN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  <c r="BO11" s="7"/>
      <c r="BP11" s="7"/>
      <c r="BQ11" s="7"/>
      <c r="BR11" s="7"/>
      <c r="BS11" s="7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</row>
    <row r="12" spans="1:114" ht="15" customHeight="1" x14ac:dyDescent="0.35">
      <c r="A12" s="73"/>
      <c r="B12" s="41"/>
      <c r="C12" s="41"/>
      <c r="D12" s="41"/>
      <c r="E12" s="7"/>
      <c r="F12" s="41"/>
      <c r="G12" s="41"/>
      <c r="H12" s="41"/>
      <c r="I12" s="41"/>
      <c r="J12" s="41"/>
      <c r="K12" s="7"/>
      <c r="L12" s="41"/>
      <c r="M12" s="41"/>
      <c r="N12" s="41"/>
      <c r="O12" s="41"/>
      <c r="P12" s="41"/>
      <c r="Q12" s="7"/>
      <c r="R12" s="41"/>
      <c r="S12" s="41"/>
      <c r="T12" s="41"/>
      <c r="U12" s="7"/>
      <c r="V12" s="55"/>
      <c r="W12" s="55"/>
      <c r="X12" s="55"/>
      <c r="Y12" s="55"/>
      <c r="Z12" s="7"/>
      <c r="AA12" s="55"/>
      <c r="AB12" s="55"/>
      <c r="AC12" s="55"/>
      <c r="AD12" s="55"/>
      <c r="AE12" s="55"/>
      <c r="AF12" s="55"/>
      <c r="AG12" s="55"/>
      <c r="AH12" s="7"/>
      <c r="AI12" s="75"/>
      <c r="AJ12" s="75"/>
      <c r="AK12" s="75"/>
      <c r="AL12" s="75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  <c r="BO12" s="7"/>
      <c r="BP12" s="7"/>
      <c r="BQ12" s="7"/>
      <c r="BR12" s="7"/>
      <c r="BS12" s="7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</row>
    <row r="13" spans="1:114" ht="14.15" customHeight="1" x14ac:dyDescent="0.35">
      <c r="A13" s="73"/>
      <c r="B13" s="9"/>
      <c r="C13" s="8"/>
      <c r="D13" s="7"/>
      <c r="E13" s="7"/>
      <c r="F13" s="7"/>
      <c r="G13" s="2" t="s">
        <v>6</v>
      </c>
      <c r="H13" s="2">
        <f>COUNT(G20:G275)</f>
        <v>256</v>
      </c>
      <c r="I13" s="3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5"/>
      <c r="AJ13" s="75"/>
      <c r="AK13" s="75"/>
      <c r="AL13" s="75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  <c r="BO13" s="7"/>
      <c r="BP13" s="7"/>
      <c r="BQ13" s="7"/>
      <c r="BR13" s="7"/>
      <c r="BS13" s="7"/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</row>
    <row r="14" spans="1:114" x14ac:dyDescent="0.35">
      <c r="A14" s="73"/>
      <c r="G14" s="2" t="s">
        <v>3</v>
      </c>
      <c r="H14" s="45">
        <f>SUM(G20:G275)</f>
        <v>32640</v>
      </c>
      <c r="I14" s="47" t="s">
        <v>34</v>
      </c>
      <c r="J14" s="48"/>
      <c r="L14" s="2"/>
      <c r="M14" s="2"/>
      <c r="R14" t="s">
        <v>38</v>
      </c>
      <c r="T14" s="50">
        <v>35750</v>
      </c>
      <c r="AA14" s="27" t="s">
        <v>17</v>
      </c>
      <c r="AB14" s="3">
        <v>20</v>
      </c>
      <c r="AI14" s="75"/>
      <c r="AJ14" s="75"/>
      <c r="AK14" s="75"/>
      <c r="AL14" s="75"/>
      <c r="AM14" s="7"/>
      <c r="AN14" t="s">
        <v>57</v>
      </c>
      <c r="AO14" s="3">
        <v>13</v>
      </c>
    </row>
    <row r="15" spans="1:114" x14ac:dyDescent="0.35">
      <c r="A15" s="73"/>
      <c r="D15" s="69"/>
      <c r="G15" s="2" t="s">
        <v>4</v>
      </c>
      <c r="H15" s="45">
        <f>SUM(H20:H275)</f>
        <v>968.85972465435952</v>
      </c>
      <c r="I15" s="47" t="s">
        <v>35</v>
      </c>
      <c r="J15" s="48"/>
      <c r="R15" s="51" t="s">
        <v>39</v>
      </c>
      <c r="T15" s="29">
        <f>T14/2</f>
        <v>17875</v>
      </c>
      <c r="AI15" s="75"/>
      <c r="AJ15" s="75"/>
      <c r="AK15" s="75"/>
      <c r="AL15" s="75"/>
      <c r="AM15" s="7"/>
    </row>
    <row r="16" spans="1:114" x14ac:dyDescent="0.35">
      <c r="A16" s="73"/>
      <c r="E16" s="42" t="s">
        <v>29</v>
      </c>
      <c r="G16" s="2" t="s">
        <v>5</v>
      </c>
      <c r="H16" s="45">
        <f>SUM(I20:I275)</f>
        <v>116091.91626599513</v>
      </c>
      <c r="I16" s="47" t="s">
        <v>36</v>
      </c>
      <c r="J16" s="49">
        <f>(H13*H16-H14*H15)/(H13*H17-H14^2)</f>
        <v>-5.3199377914251817E-3</v>
      </c>
      <c r="K16" s="10"/>
      <c r="R16" s="51" t="s">
        <v>11</v>
      </c>
      <c r="T16" s="30">
        <f>IF(MOD(L19,2)=0,L19/2+1,(L19+1)/2)</f>
        <v>129</v>
      </c>
      <c r="Z16" s="3"/>
      <c r="AA16" s="12"/>
      <c r="AI16" s="75"/>
      <c r="AJ16" s="75"/>
      <c r="AK16" s="75"/>
      <c r="AL16" s="75"/>
      <c r="AM16" s="7"/>
    </row>
    <row r="17" spans="1:40" x14ac:dyDescent="0.35">
      <c r="A17" s="73"/>
      <c r="E17" s="42" t="s">
        <v>2</v>
      </c>
      <c r="G17" s="2" t="s">
        <v>33</v>
      </c>
      <c r="H17" s="45">
        <f>SUM(J20:J275)</f>
        <v>5559680</v>
      </c>
      <c r="I17" s="3" t="s">
        <v>7</v>
      </c>
      <c r="J17" s="10">
        <f>(H15*H17-H14*H16)/(H13*H17-H14^2)</f>
        <v>4.4629003678378023</v>
      </c>
      <c r="K17" s="10"/>
      <c r="L17" s="13"/>
      <c r="M17" s="13"/>
      <c r="AI17" s="75"/>
      <c r="AJ17" s="75"/>
      <c r="AK17" s="75"/>
      <c r="AL17" s="75"/>
      <c r="AM17" s="7"/>
    </row>
    <row r="18" spans="1:40" x14ac:dyDescent="0.35">
      <c r="B18" s="1" t="s">
        <v>27</v>
      </c>
      <c r="C18" s="85" t="s">
        <v>0</v>
      </c>
      <c r="D18" s="85" t="s">
        <v>26</v>
      </c>
      <c r="E18" s="43" t="s">
        <v>37</v>
      </c>
      <c r="F18" s="85" t="s">
        <v>28</v>
      </c>
      <c r="G18" s="85" t="s">
        <v>30</v>
      </c>
      <c r="H18" s="85" t="s">
        <v>31</v>
      </c>
      <c r="I18" s="85" t="s">
        <v>1</v>
      </c>
      <c r="J18" s="85" t="s">
        <v>32</v>
      </c>
      <c r="L18" s="21" t="s">
        <v>16</v>
      </c>
      <c r="M18" s="80" t="s">
        <v>20</v>
      </c>
      <c r="N18" s="81"/>
      <c r="O18" s="80" t="s">
        <v>21</v>
      </c>
      <c r="P18" s="81"/>
      <c r="R18" s="17" t="s">
        <v>15</v>
      </c>
      <c r="S18" s="82" t="s">
        <v>12</v>
      </c>
      <c r="T18" s="82" t="s">
        <v>22</v>
      </c>
      <c r="V18" s="83" t="s">
        <v>13</v>
      </c>
      <c r="W18" s="57" t="s">
        <v>14</v>
      </c>
      <c r="X18" s="86" t="s">
        <v>13</v>
      </c>
      <c r="Y18" s="87" t="s">
        <v>12</v>
      </c>
      <c r="AA18" s="31" t="s">
        <v>18</v>
      </c>
      <c r="AB18" s="88" t="s">
        <v>48</v>
      </c>
      <c r="AC18" s="89"/>
      <c r="AD18" s="89"/>
      <c r="AE18" s="90"/>
      <c r="AF18" s="84" t="s">
        <v>19</v>
      </c>
      <c r="AG18" s="74" t="s">
        <v>42</v>
      </c>
      <c r="AM18" s="7"/>
    </row>
    <row r="19" spans="1:40" x14ac:dyDescent="0.35">
      <c r="B19" s="40">
        <f>COUNT(B20:B275)</f>
        <v>256</v>
      </c>
      <c r="C19" s="85"/>
      <c r="D19" s="85"/>
      <c r="E19" s="44">
        <f>SUM(E20:E275)</f>
        <v>28</v>
      </c>
      <c r="F19" s="85"/>
      <c r="G19" s="85"/>
      <c r="H19" s="85"/>
      <c r="I19" s="85"/>
      <c r="J19" s="85"/>
      <c r="L19" s="22">
        <f>COUNT(L20:L275)</f>
        <v>256</v>
      </c>
      <c r="M19" s="23" t="s">
        <v>9</v>
      </c>
      <c r="N19" s="24" t="s">
        <v>10</v>
      </c>
      <c r="O19" s="25" t="s">
        <v>9</v>
      </c>
      <c r="P19" s="26" t="s">
        <v>10</v>
      </c>
      <c r="R19" s="19">
        <f>T16</f>
        <v>129</v>
      </c>
      <c r="S19" s="82"/>
      <c r="T19" s="82"/>
      <c r="V19" s="83"/>
      <c r="W19" s="58">
        <f>AB14+2</f>
        <v>22</v>
      </c>
      <c r="X19" s="86"/>
      <c r="Y19" s="87"/>
      <c r="AA19" s="16">
        <f>W19-2</f>
        <v>20</v>
      </c>
      <c r="AB19" s="88" t="s">
        <v>49</v>
      </c>
      <c r="AC19" s="89"/>
      <c r="AD19" s="89" t="s">
        <v>50</v>
      </c>
      <c r="AE19" s="90"/>
      <c r="AF19" s="84"/>
      <c r="AG19" s="74"/>
      <c r="AJ19" s="66" t="s">
        <v>54</v>
      </c>
      <c r="AK19" s="76" t="s">
        <v>55</v>
      </c>
      <c r="AN19" s="47" t="s">
        <v>58</v>
      </c>
    </row>
    <row r="20" spans="1:40" x14ac:dyDescent="0.35">
      <c r="B20" s="2">
        <v>0</v>
      </c>
      <c r="C20" s="6">
        <f>B20/$T$14*1000</f>
        <v>0</v>
      </c>
      <c r="D20" s="3">
        <f>INT(MID(A$3,FIND("{", A$3) + 1, FIND("#", SUBSTITUTE(A$3, ",", "#", 1)) - FIND("{", A$3) -1))</f>
        <v>382</v>
      </c>
      <c r="F20" s="15">
        <f t="shared" ref="F20:F83" si="0">D20*D20</f>
        <v>145924</v>
      </c>
      <c r="G20" s="2">
        <f t="shared" ref="G20:G83" si="1">B20</f>
        <v>0</v>
      </c>
      <c r="H20" s="45">
        <f t="shared" ref="H20:H83" si="2">LOG10(1 + F20)</f>
        <v>5.1641297019821977</v>
      </c>
      <c r="I20" s="45">
        <f>G20*H20</f>
        <v>0</v>
      </c>
      <c r="J20" s="46">
        <f>G20*G20</f>
        <v>0</v>
      </c>
      <c r="K20" s="2"/>
      <c r="L20" s="2">
        <f t="shared" ref="L20:L83" si="3">B20</f>
        <v>0</v>
      </c>
      <c r="M20" s="18">
        <f t="shared" ref="M20:M83" si="4">D20</f>
        <v>382</v>
      </c>
      <c r="N20" s="20">
        <v>0</v>
      </c>
      <c r="O20" s="18" cm="1">
        <f t="array" ref="O20">SUMPRODUCT(M$20:M$275*COS(2*PI()*L20/L$19*L$20:L$275)+N$20:N$275*SIN(2*PI()*L20/L$19*L$20:L$275))</f>
        <v>2150</v>
      </c>
      <c r="P20" s="20" cm="1">
        <f t="array" ref="P20">SUMPRODUCT(N$20:N$275*COS(2*PI()*L19/L$19*L$20:L$275)+M$20:M$275*SIN(2*PI()*L20/L$19*L$20:L$275))</f>
        <v>0</v>
      </c>
      <c r="R20" s="2">
        <f>L20</f>
        <v>0</v>
      </c>
      <c r="S20" s="54">
        <f t="shared" ref="S20:S51" si="5">R20*T$14/L$19</f>
        <v>0</v>
      </c>
      <c r="T20" s="28">
        <f>SQRT(O20*O20+P20*P20)/L$19</f>
        <v>8.3984375</v>
      </c>
      <c r="V20" s="11">
        <f>2595*LOG10(1+S20/700)</f>
        <v>0</v>
      </c>
      <c r="W20" s="59">
        <f t="shared" ref="W20:W41" si="6">IF(R20&lt;=W$19,R20,"")</f>
        <v>0</v>
      </c>
      <c r="X20" s="32">
        <f>S20</f>
        <v>0</v>
      </c>
      <c r="Y20" s="34">
        <f t="shared" ref="Y20:Y26" si="7">700*(10^(X20/2595)-1)</f>
        <v>0</v>
      </c>
      <c r="Z20" s="52"/>
      <c r="AA20" s="60"/>
      <c r="AB20" s="61" t="s">
        <v>46</v>
      </c>
      <c r="AC20" s="62" t="s">
        <v>47</v>
      </c>
      <c r="AD20" s="63" t="s">
        <v>46</v>
      </c>
      <c r="AE20" s="64" t="s">
        <v>47</v>
      </c>
      <c r="AF20" s="4"/>
      <c r="AG20" s="74"/>
      <c r="AJ20" s="67">
        <f>AA19</f>
        <v>20</v>
      </c>
      <c r="AK20" s="76"/>
      <c r="AN20" s="47" t="s">
        <v>8</v>
      </c>
    </row>
    <row r="21" spans="1:40" x14ac:dyDescent="0.35">
      <c r="B21" s="2">
        <f>B20+1</f>
        <v>1</v>
      </c>
      <c r="C21" s="5" t="str">
        <f t="shared" ref="C21:C84" si="8">IF(INT(B21/$T$14*1000) = INT(B20/$T$14*1000),"",B21/$T$14*1000)</f>
        <v/>
      </c>
      <c r="D21">
        <f t="shared" ref="D21:D84" si="9">INT(MID(A$3,FIND("#", SUBSTITUTE(A$3, ",", "#", B21)) + 1, FIND("#", SUBSTITUTE(A$3, ",", "#", B21+1)) - FIND("#", SUBSTITUTE(A$3, ",", "#", B21))-1))</f>
        <v>310</v>
      </c>
      <c r="E21" s="5" t="str">
        <f t="shared" ref="E21:E84" si="10">IF(SIGN(D21)&lt;&gt;SIGN(D20),1,"")</f>
        <v/>
      </c>
      <c r="F21" s="15">
        <f t="shared" si="0"/>
        <v>96100</v>
      </c>
      <c r="G21" s="2">
        <f t="shared" si="1"/>
        <v>1</v>
      </c>
      <c r="H21" s="45">
        <f t="shared" si="2"/>
        <v>4.9827279068383925</v>
      </c>
      <c r="I21" s="45">
        <f t="shared" ref="I21:I84" si="11">G21*H21</f>
        <v>4.9827279068383925</v>
      </c>
      <c r="J21" s="46">
        <f t="shared" ref="J21:J84" si="12">G21*G21</f>
        <v>1</v>
      </c>
      <c r="K21" s="2"/>
      <c r="L21" s="2">
        <f t="shared" si="3"/>
        <v>1</v>
      </c>
      <c r="M21" s="18">
        <f t="shared" si="4"/>
        <v>310</v>
      </c>
      <c r="N21" s="20">
        <v>0</v>
      </c>
      <c r="O21" s="18" cm="1">
        <f t="array" ref="O21">SUMPRODUCT(M$20:M$275*COS(2*PI()*L21/L$19*L$20:L$275)+N$20:N$275*SIN(2*PI()*L21/L$19*L$20:L$275))</f>
        <v>2963.0150631664592</v>
      </c>
      <c r="P21" s="20" cm="1">
        <f t="array" ref="P21">SUMPRODUCT(N$20:N$275*COS(2*PI()*L20/L$19*L$20:L$275)+M$20:M$275*SIN(2*PI()*L21/L$19*L$20:L$275))</f>
        <v>2318.7460954956564</v>
      </c>
      <c r="R21" s="2">
        <f t="shared" ref="R21:R84" si="13">L21</f>
        <v>1</v>
      </c>
      <c r="S21" s="54">
        <f t="shared" si="5"/>
        <v>139.6484375</v>
      </c>
      <c r="T21" s="28">
        <f t="shared" ref="T21:T84" si="14">SQRT(O21*O21+P21*P21)/L$19</f>
        <v>14.697076395131322</v>
      </c>
      <c r="V21" s="11">
        <f t="shared" ref="V21:V84" si="15">2595*LOG10(1+S21/700)</f>
        <v>205.00355750935557</v>
      </c>
      <c r="W21" s="56">
        <f t="shared" si="6"/>
        <v>1</v>
      </c>
      <c r="X21" s="33">
        <f t="shared" ref="X21:X41" si="16">X20+(MAX(V$20:V$148)-MIN(V$20:V$148))/($AB$14+2-1)</f>
        <v>175.94480382741114</v>
      </c>
      <c r="Y21" s="35">
        <f t="shared" si="7"/>
        <v>118.27542028366189</v>
      </c>
      <c r="Z21" s="52"/>
      <c r="AA21" s="2">
        <v>0</v>
      </c>
      <c r="AB21" s="36" cm="1">
        <f t="array" ref="AB21">_xlfn.XLOOKUP(MIN(IF(S$20:S$148&gt;=Y20,S$20:S$148)),S$20:S$148,R$20:R$148)</f>
        <v>0</v>
      </c>
      <c r="AC21" s="37" cm="1">
        <f t="array" ref="AC21">_xlfn.XLOOKUP(MAX(IF(S$20:S$148&lt;=Y21,S$20:S$148)),S$20:S$148,R$20:R$148)</f>
        <v>0</v>
      </c>
      <c r="AD21" s="2" cm="1">
        <f t="array" ref="AD21">_xlfn.XLOOKUP(MIN(IF(S$20:S$148&gt;=Y21,S$20:S$148)),S$20:S$148,R$20:R$148)</f>
        <v>1</v>
      </c>
      <c r="AE21" s="38" cm="1">
        <f t="array" ref="AE21">_xlfn.XLOOKUP(MAX(IF(S$20:S$148&lt;=Y22,S$20:S$148)),S$20:S$148,R$20:R$148)</f>
        <v>1</v>
      </c>
      <c r="AF21" s="11" cm="1">
        <f t="array" ref="AF21">SUMPRODUCT(IF(S$20:S$148&lt;Y20,0,IF(S$20:S$148&gt;Y21,0,(X21-V$20:V$148)/(X21-X20) *T$20:T$148)))+SUMPRODUCT(IF(S$20:S$148&gt;Y22,0,IF(S$20:S$148&lt;Y21,0,(V$20:V$148-X21)/(X22-X21) *T$20:T$148)))</f>
        <v>10.825782403176417</v>
      </c>
      <c r="AG21" s="33">
        <f>LOG10(AF21)</f>
        <v>1.0344592935799561</v>
      </c>
      <c r="AJ21" s="2">
        <f t="shared" ref="AJ21:AJ40" si="17">AA21</f>
        <v>0</v>
      </c>
      <c r="AK21" s="71" cm="1">
        <f t="array" ref="AK21">SUMPRODUCT(AG$21:AG$40*COS(PI()*AJ21*(2*AJ$21:AJ$40+1)/(2*AB$14)))*SQRT(2/AB$14)/IF($AJ21=0,SQRT(2),1)</f>
        <v>6.4161165504029034</v>
      </c>
      <c r="AN21" s="72">
        <f t="shared" ref="AN21:AN40" si="18">IF(AJ21&lt;AO$14,AK21,"")</f>
        <v>6.4161165504029034</v>
      </c>
    </row>
    <row r="22" spans="1:40" x14ac:dyDescent="0.35">
      <c r="B22" s="2">
        <f t="shared" ref="B22:B33" si="19">B21+1</f>
        <v>2</v>
      </c>
      <c r="C22" s="5" t="str">
        <f t="shared" si="8"/>
        <v/>
      </c>
      <c r="D22">
        <f t="shared" si="9"/>
        <v>172</v>
      </c>
      <c r="E22" s="5" t="str">
        <f t="shared" si="10"/>
        <v/>
      </c>
      <c r="F22" s="15">
        <f t="shared" si="0"/>
        <v>29584</v>
      </c>
      <c r="G22" s="2">
        <f t="shared" si="1"/>
        <v>2</v>
      </c>
      <c r="H22" s="45">
        <f t="shared" si="2"/>
        <v>4.4710715736130311</v>
      </c>
      <c r="I22" s="45">
        <f t="shared" si="11"/>
        <v>8.9421431472260622</v>
      </c>
      <c r="J22" s="46">
        <f t="shared" si="12"/>
        <v>4</v>
      </c>
      <c r="K22" s="2"/>
      <c r="L22" s="2">
        <f t="shared" si="3"/>
        <v>2</v>
      </c>
      <c r="M22" s="18">
        <f t="shared" si="4"/>
        <v>172</v>
      </c>
      <c r="N22" s="20">
        <v>0</v>
      </c>
      <c r="O22" s="18" cm="1">
        <f t="array" ref="O22">SUMPRODUCT(M$20:M$275*COS(2*PI()*L22/L$19*L$20:L$275)+N$20:N$275*SIN(2*PI()*L22/L$19*L$20:L$275))</f>
        <v>1868.6494035108158</v>
      </c>
      <c r="P22" s="20" cm="1">
        <f t="array" ref="P22">SUMPRODUCT(N$20:N$275*COS(2*PI()*L21/L$19*L$20:L$275)+M$20:M$275*SIN(2*PI()*L22/L$19*L$20:L$275))</f>
        <v>-754.80736944467321</v>
      </c>
      <c r="R22" s="2">
        <f t="shared" si="13"/>
        <v>2</v>
      </c>
      <c r="S22" s="54">
        <f t="shared" si="5"/>
        <v>279.296875</v>
      </c>
      <c r="T22" s="28">
        <f t="shared" si="14"/>
        <v>7.8724116435169345</v>
      </c>
      <c r="V22" s="11">
        <f t="shared" si="15"/>
        <v>378.39337280032566</v>
      </c>
      <c r="W22" s="56">
        <f t="shared" si="6"/>
        <v>2</v>
      </c>
      <c r="X22" s="33">
        <f t="shared" si="16"/>
        <v>351.88960765482227</v>
      </c>
      <c r="Y22" s="35">
        <f t="shared" si="7"/>
        <v>256.53523348629056</v>
      </c>
      <c r="Z22" s="52"/>
      <c r="AA22" s="2">
        <f>1+AA21</f>
        <v>1</v>
      </c>
      <c r="AB22" s="36" cm="1">
        <f t="array" ref="AB22">_xlfn.XLOOKUP(MIN(IF(S$20:S$148&gt;=Y21,S$20:S$148)),S$20:S$148,R$20:R$148)</f>
        <v>1</v>
      </c>
      <c r="AC22" s="37" cm="1">
        <f t="array" ref="AC22">_xlfn.XLOOKUP(MAX(IF(S$20:S$148&lt;=Y22,S$20:S$148)),S$20:S$148,R$20:R$148)</f>
        <v>1</v>
      </c>
      <c r="AD22" s="2" cm="1">
        <f t="array" ref="AD22">_xlfn.XLOOKUP(MIN(IF(S$20:S$148&gt;=Y22,S$20:S$148)),S$20:S$148,R$20:R$148)</f>
        <v>2</v>
      </c>
      <c r="AE22" s="38" cm="1">
        <f t="array" ref="AE22">_xlfn.XLOOKUP(MAX(IF(S$20:S$148&lt;=Y23,S$20:S$148)),S$20:S$148,R$20:R$148)</f>
        <v>2</v>
      </c>
      <c r="AF22" s="11" cm="1">
        <f t="array" ref="AF22">SUMPRODUCT(IF(S$20:S$148&lt;Y21,0,IF(S$20:S$148&gt;Y22,0,(X22-V$20:V$148)/(X22-X21) *T$20:T$148)))+SUMPRODUCT(IF(S$20:S$148&gt;Y23,0,IF(S$20:S$148&lt;Y22,0,(V$20:V$148-X22)/(X23-X22) *T$20:T$148)))</f>
        <v>13.455606520882544</v>
      </c>
      <c r="AG22" s="33">
        <f t="shared" ref="AG22:AG40" si="20">LOG10(AF22)</f>
        <v>1.1289032786687583</v>
      </c>
      <c r="AJ22" s="2">
        <f t="shared" si="17"/>
        <v>1</v>
      </c>
      <c r="AK22" s="71" cm="1">
        <f t="array" ref="AK22">SUMPRODUCT(AG$21:AG$40*COS(PI()*AJ22*(2*AJ$21:AJ$40+1)/(2*AB$14)))*SQRT(2/AB$14)/IF($AJ22=0,SQRT(2),1)</f>
        <v>-2.1547318650845328E-2</v>
      </c>
      <c r="AN22" s="72">
        <f t="shared" si="18"/>
        <v>-2.1547318650845328E-2</v>
      </c>
    </row>
    <row r="23" spans="1:40" x14ac:dyDescent="0.35">
      <c r="B23" s="2">
        <f t="shared" si="19"/>
        <v>3</v>
      </c>
      <c r="C23" s="5" t="str">
        <f t="shared" si="8"/>
        <v/>
      </c>
      <c r="D23">
        <f t="shared" si="9"/>
        <v>107</v>
      </c>
      <c r="E23" s="5" t="str">
        <f t="shared" si="10"/>
        <v/>
      </c>
      <c r="F23" s="15">
        <f t="shared" si="0"/>
        <v>11449</v>
      </c>
      <c r="G23" s="2">
        <f t="shared" si="1"/>
        <v>3</v>
      </c>
      <c r="H23" s="45">
        <f t="shared" si="2"/>
        <v>4.0588054866759071</v>
      </c>
      <c r="I23" s="45">
        <f t="shared" si="11"/>
        <v>12.17641646002772</v>
      </c>
      <c r="J23" s="46">
        <f t="shared" si="12"/>
        <v>9</v>
      </c>
      <c r="K23" s="2"/>
      <c r="L23" s="2">
        <f t="shared" si="3"/>
        <v>3</v>
      </c>
      <c r="M23" s="18">
        <f t="shared" si="4"/>
        <v>107</v>
      </c>
      <c r="N23" s="20">
        <v>0</v>
      </c>
      <c r="O23" s="18" cm="1">
        <f t="array" ref="O23">SUMPRODUCT(M$20:M$275*COS(2*PI()*L23/L$19*L$20:L$275)+N$20:N$275*SIN(2*PI()*L23/L$19*L$20:L$275))</f>
        <v>4726.1010892251352</v>
      </c>
      <c r="P23" s="20" cm="1">
        <f t="array" ref="P23">SUMPRODUCT(N$20:N$275*COS(2*PI()*L22/L$19*L$20:L$275)+M$20:M$275*SIN(2*PI()*L23/L$19*L$20:L$275))</f>
        <v>-401.03953202489436</v>
      </c>
      <c r="R23" s="2">
        <f t="shared" si="13"/>
        <v>3</v>
      </c>
      <c r="S23" s="54">
        <f t="shared" si="5"/>
        <v>418.9453125</v>
      </c>
      <c r="T23" s="28">
        <f t="shared" si="14"/>
        <v>18.52767944389943</v>
      </c>
      <c r="V23" s="11">
        <f t="shared" si="15"/>
        <v>528.62958116846733</v>
      </c>
      <c r="W23" s="56">
        <f t="shared" si="6"/>
        <v>3</v>
      </c>
      <c r="X23" s="33">
        <f t="shared" si="16"/>
        <v>527.83441148223346</v>
      </c>
      <c r="Y23" s="35">
        <f t="shared" si="7"/>
        <v>418.15610028160745</v>
      </c>
      <c r="Z23" s="52"/>
      <c r="AA23" s="2">
        <f t="shared" ref="AA23:AA40" si="21">1+AA22</f>
        <v>2</v>
      </c>
      <c r="AB23" s="36" cm="1">
        <f t="array" ref="AB23">_xlfn.XLOOKUP(MIN(IF(S$20:S$148&gt;=Y22,S$20:S$148)),S$20:S$148,R$20:R$148)</f>
        <v>2</v>
      </c>
      <c r="AC23" s="37" cm="1">
        <f t="array" ref="AC23">_xlfn.XLOOKUP(MAX(IF(S$20:S$148&lt;=Y23,S$20:S$148)),S$20:S$148,R$20:R$148)</f>
        <v>2</v>
      </c>
      <c r="AD23" s="2" cm="1">
        <f t="array" ref="AD23">_xlfn.XLOOKUP(MIN(IF(S$20:S$148&gt;=Y23,S$20:S$148)),S$20:S$148,R$20:R$148)</f>
        <v>3</v>
      </c>
      <c r="AE23" s="38" cm="1">
        <f t="array" ref="AE23">_xlfn.XLOOKUP(MAX(IF(S$20:S$148&lt;=Y24,S$20:S$148)),S$20:S$148,R$20:R$148)</f>
        <v>4</v>
      </c>
      <c r="AF23" s="11" cm="1">
        <f t="array" ref="AF23">SUMPRODUCT(IF(S$20:S$148&lt;Y22,0,IF(S$20:S$148&gt;Y23,0,(X23-V$20:V$148)/(X23-X22) *T$20:T$148)))+SUMPRODUCT(IF(S$20:S$148&gt;Y24,0,IF(S$20:S$148&lt;Y23,0,(V$20:V$148-X23)/(X24-X23) *T$20:T$148)))</f>
        <v>11.245003640212946</v>
      </c>
      <c r="AG23" s="33">
        <f t="shared" si="20"/>
        <v>1.0509596003607251</v>
      </c>
      <c r="AJ23" s="2">
        <f t="shared" si="17"/>
        <v>2</v>
      </c>
      <c r="AK23" s="71" cm="1">
        <f t="array" ref="AK23">SUMPRODUCT(AG$21:AG$40*COS(PI()*AJ23*(2*AJ$21:AJ$40+1)/(2*AB$14)))*SQRT(2/AB$14)/IF($AJ23=0,SQRT(2),1)</f>
        <v>-0.76432651261808571</v>
      </c>
      <c r="AN23" s="72">
        <f t="shared" si="18"/>
        <v>-0.76432651261808571</v>
      </c>
    </row>
    <row r="24" spans="1:40" x14ac:dyDescent="0.35">
      <c r="B24" s="2">
        <f t="shared" si="19"/>
        <v>4</v>
      </c>
      <c r="C24" s="5" t="str">
        <f t="shared" si="8"/>
        <v/>
      </c>
      <c r="D24">
        <f t="shared" si="9"/>
        <v>141</v>
      </c>
      <c r="E24" s="5" t="str">
        <f t="shared" si="10"/>
        <v/>
      </c>
      <c r="F24" s="15">
        <f t="shared" si="0"/>
        <v>19881</v>
      </c>
      <c r="G24" s="2">
        <f t="shared" si="1"/>
        <v>4</v>
      </c>
      <c r="H24" s="45">
        <f t="shared" si="2"/>
        <v>4.2984600694614521</v>
      </c>
      <c r="I24" s="45">
        <f t="shared" si="11"/>
        <v>17.193840277845808</v>
      </c>
      <c r="J24" s="46">
        <f t="shared" si="12"/>
        <v>16</v>
      </c>
      <c r="K24" s="2"/>
      <c r="L24" s="2">
        <f t="shared" si="3"/>
        <v>4</v>
      </c>
      <c r="M24" s="18">
        <f t="shared" si="4"/>
        <v>141</v>
      </c>
      <c r="N24" s="20">
        <v>0</v>
      </c>
      <c r="O24" s="18" cm="1">
        <f t="array" ref="O24">SUMPRODUCT(M$20:M$275*COS(2*PI()*L24/L$19*L$20:L$275)+N$20:N$275*SIN(2*PI()*L24/L$19*L$20:L$275))</f>
        <v>-627.23485844993536</v>
      </c>
      <c r="P24" s="20" cm="1">
        <f t="array" ref="P24">SUMPRODUCT(N$20:N$275*COS(2*PI()*L23/L$19*L$20:L$275)+M$20:M$275*SIN(2*PI()*L24/L$19*L$20:L$275))</f>
        <v>1375.2787732031536</v>
      </c>
      <c r="R24" s="2">
        <f t="shared" si="13"/>
        <v>4</v>
      </c>
      <c r="S24" s="54">
        <f t="shared" si="5"/>
        <v>558.59375</v>
      </c>
      <c r="T24" s="28">
        <f t="shared" si="14"/>
        <v>5.9045333666015827</v>
      </c>
      <c r="V24" s="11">
        <f t="shared" si="15"/>
        <v>661.17364231465581</v>
      </c>
      <c r="W24" s="56">
        <f t="shared" si="6"/>
        <v>4</v>
      </c>
      <c r="X24" s="33">
        <f t="shared" si="16"/>
        <v>703.77921530964454</v>
      </c>
      <c r="Y24" s="35">
        <f t="shared" si="7"/>
        <v>607.08521842953223</v>
      </c>
      <c r="Z24" s="52"/>
      <c r="AA24" s="2">
        <f t="shared" si="21"/>
        <v>3</v>
      </c>
      <c r="AB24" s="36" cm="1">
        <f t="array" ref="AB24">_xlfn.XLOOKUP(MIN(IF(S$20:S$148&gt;=Y23,S$20:S$148)),S$20:S$148,R$20:R$148)</f>
        <v>3</v>
      </c>
      <c r="AC24" s="37" cm="1">
        <f t="array" ref="AC24">_xlfn.XLOOKUP(MAX(IF(S$20:S$148&lt;=Y24,S$20:S$148)),S$20:S$148,R$20:R$148)</f>
        <v>4</v>
      </c>
      <c r="AD24" s="2" cm="1">
        <f t="array" ref="AD24">_xlfn.XLOOKUP(MIN(IF(S$20:S$148&gt;=Y24,S$20:S$148)),S$20:S$148,R$20:R$148)</f>
        <v>5</v>
      </c>
      <c r="AE24" s="38" cm="1">
        <f t="array" ref="AE24">_xlfn.XLOOKUP(MAX(IF(S$20:S$148&lt;=Y25,S$20:S$148)),S$20:S$148,R$20:R$148)</f>
        <v>5</v>
      </c>
      <c r="AF24" s="11" cm="1">
        <f t="array" ref="AF24">SUMPRODUCT(IF(S$20:S$148&lt;Y23,0,IF(S$20:S$148&gt;Y24,0,(X24-V$20:V$148)/(X24-X23) *T$20:T$148)))+SUMPRODUCT(IF(S$20:S$148&gt;Y25,0,IF(S$20:S$148&lt;Y24,0,(V$20:V$148-X24)/(X25-X24) *T$20:T$148)))</f>
        <v>22.685974348292479</v>
      </c>
      <c r="AG24" s="33">
        <f t="shared" si="20"/>
        <v>1.3557574366767389</v>
      </c>
      <c r="AJ24" s="2">
        <f t="shared" si="17"/>
        <v>3</v>
      </c>
      <c r="AK24" s="71" cm="1">
        <f t="array" ref="AK24">SUMPRODUCT(AG$21:AG$40*COS(PI()*AJ24*(2*AJ$21:AJ$40+1)/(2*AB$14)))*SQRT(2/AB$14)/IF($AJ24=0,SQRT(2),1)</f>
        <v>-9.903319856993982E-2</v>
      </c>
      <c r="AN24" s="72">
        <f t="shared" si="18"/>
        <v>-9.903319856993982E-2</v>
      </c>
    </row>
    <row r="25" spans="1:40" x14ac:dyDescent="0.35">
      <c r="B25" s="2">
        <f t="shared" si="19"/>
        <v>5</v>
      </c>
      <c r="C25" s="5" t="str">
        <f t="shared" si="8"/>
        <v/>
      </c>
      <c r="D25">
        <f t="shared" si="9"/>
        <v>285</v>
      </c>
      <c r="E25" s="5" t="str">
        <f t="shared" si="10"/>
        <v/>
      </c>
      <c r="F25" s="15">
        <f t="shared" si="0"/>
        <v>81225</v>
      </c>
      <c r="G25" s="2">
        <f t="shared" si="1"/>
        <v>5</v>
      </c>
      <c r="H25" s="45">
        <f t="shared" si="2"/>
        <v>4.9096950667921329</v>
      </c>
      <c r="I25" s="45">
        <f t="shared" si="11"/>
        <v>24.548475333960663</v>
      </c>
      <c r="J25" s="46">
        <f t="shared" si="12"/>
        <v>25</v>
      </c>
      <c r="K25" s="2"/>
      <c r="L25" s="2">
        <f t="shared" si="3"/>
        <v>5</v>
      </c>
      <c r="M25" s="18">
        <f t="shared" si="4"/>
        <v>285</v>
      </c>
      <c r="N25" s="20">
        <v>0</v>
      </c>
      <c r="O25" s="18" cm="1">
        <f t="array" ref="O25">SUMPRODUCT(M$20:M$275*COS(2*PI()*L25/L$19*L$20:L$275)+N$20:N$275*SIN(2*PI()*L25/L$19*L$20:L$275))</f>
        <v>1311.3093344077647</v>
      </c>
      <c r="P25" s="20" cm="1">
        <f t="array" ref="P25">SUMPRODUCT(N$20:N$275*COS(2*PI()*L24/L$19*L$20:L$275)+M$20:M$275*SIN(2*PI()*L25/L$19*L$20:L$275))</f>
        <v>1029.5320312061085</v>
      </c>
      <c r="R25" s="2">
        <f t="shared" si="13"/>
        <v>5</v>
      </c>
      <c r="S25" s="54">
        <f t="shared" si="5"/>
        <v>698.2421875</v>
      </c>
      <c r="T25" s="28">
        <f t="shared" si="14"/>
        <v>6.5123975325117165</v>
      </c>
      <c r="V25" s="11">
        <f t="shared" si="15"/>
        <v>779.75691790500196</v>
      </c>
      <c r="W25" s="56">
        <f t="shared" si="6"/>
        <v>5</v>
      </c>
      <c r="X25" s="33">
        <f t="shared" si="16"/>
        <v>879.72401913705562</v>
      </c>
      <c r="Y25" s="35">
        <f t="shared" si="7"/>
        <v>827.93672350998213</v>
      </c>
      <c r="Z25" s="52"/>
      <c r="AA25" s="2">
        <f t="shared" si="21"/>
        <v>4</v>
      </c>
      <c r="AB25" s="36" cm="1">
        <f t="array" ref="AB25">_xlfn.XLOOKUP(MIN(IF(S$20:S$148&gt;=Y24,S$20:S$148)),S$20:S$148,R$20:R$148)</f>
        <v>5</v>
      </c>
      <c r="AC25" s="37" cm="1">
        <f t="array" ref="AC25">_xlfn.XLOOKUP(MAX(IF(S$20:S$148&lt;=Y25,S$20:S$148)),S$20:S$148,R$20:R$148)</f>
        <v>5</v>
      </c>
      <c r="AD25" s="2" cm="1">
        <f t="array" ref="AD25">_xlfn.XLOOKUP(MIN(IF(S$20:S$148&gt;=Y25,S$20:S$148)),S$20:S$148,R$20:R$148)</f>
        <v>6</v>
      </c>
      <c r="AE25" s="38" cm="1">
        <f t="array" ref="AE25">_xlfn.XLOOKUP(MAX(IF(S$20:S$148&lt;=Y26,S$20:S$148)),S$20:S$148,R$20:R$148)</f>
        <v>7</v>
      </c>
      <c r="AF25" s="11" cm="1">
        <f t="array" ref="AF25">SUMPRODUCT(IF(S$20:S$148&lt;Y24,0,IF(S$20:S$148&gt;Y25,0,(X25-V$20:V$148)/(X25-X24) *T$20:T$148)))+SUMPRODUCT(IF(S$20:S$148&gt;Y26,0,IF(S$20:S$148&lt;Y25,0,(V$20:V$148-X25)/(X26-X25) *T$20:T$148)))</f>
        <v>40.341883732139614</v>
      </c>
      <c r="AG25" s="33">
        <f t="shared" si="20"/>
        <v>1.6057561733852539</v>
      </c>
      <c r="AJ25" s="2">
        <f t="shared" si="17"/>
        <v>4</v>
      </c>
      <c r="AK25" s="71" cm="1">
        <f t="array" ref="AK25">SUMPRODUCT(AG$21:AG$40*COS(PI()*AJ25*(2*AJ$21:AJ$40+1)/(2*AB$14)))*SQRT(2/AB$14)/IF($AJ25=0,SQRT(2),1)</f>
        <v>-0.62999209034362813</v>
      </c>
      <c r="AN25" s="72">
        <f t="shared" si="18"/>
        <v>-0.62999209034362813</v>
      </c>
    </row>
    <row r="26" spans="1:40" x14ac:dyDescent="0.35">
      <c r="B26" s="2">
        <f t="shared" si="19"/>
        <v>6</v>
      </c>
      <c r="C26" s="5" t="str">
        <f t="shared" si="8"/>
        <v/>
      </c>
      <c r="D26">
        <f t="shared" si="9"/>
        <v>439</v>
      </c>
      <c r="E26" s="5" t="str">
        <f t="shared" si="10"/>
        <v/>
      </c>
      <c r="F26" s="15">
        <f t="shared" si="0"/>
        <v>192721</v>
      </c>
      <c r="G26" s="2">
        <f t="shared" si="1"/>
        <v>6</v>
      </c>
      <c r="H26" s="45">
        <f t="shared" si="2"/>
        <v>5.2849312939665056</v>
      </c>
      <c r="I26" s="45">
        <f t="shared" si="11"/>
        <v>31.709587763799036</v>
      </c>
      <c r="J26" s="46">
        <f t="shared" si="12"/>
        <v>36</v>
      </c>
      <c r="K26" s="2"/>
      <c r="L26" s="2">
        <f t="shared" si="3"/>
        <v>6</v>
      </c>
      <c r="M26" s="18">
        <f t="shared" si="4"/>
        <v>439</v>
      </c>
      <c r="N26" s="20">
        <v>0</v>
      </c>
      <c r="O26" s="18" cm="1">
        <f t="array" ref="O26">SUMPRODUCT(M$20:M$275*COS(2*PI()*L26/L$19*L$20:L$275)+N$20:N$275*SIN(2*PI()*L26/L$19*L$20:L$275))</f>
        <v>8437.8351110811273</v>
      </c>
      <c r="P26" s="20" cm="1">
        <f t="array" ref="P26">SUMPRODUCT(N$20:N$275*COS(2*PI()*L25/L$19*L$20:L$275)+M$20:M$275*SIN(2*PI()*L26/L$19*L$20:L$275))</f>
        <v>7195.9912689160692</v>
      </c>
      <c r="R26" s="2">
        <f t="shared" si="13"/>
        <v>6</v>
      </c>
      <c r="S26" s="54">
        <f t="shared" si="5"/>
        <v>837.890625</v>
      </c>
      <c r="T26" s="28">
        <f t="shared" si="14"/>
        <v>43.318771758857736</v>
      </c>
      <c r="V26" s="11">
        <f t="shared" si="15"/>
        <v>887.04212755939955</v>
      </c>
      <c r="W26" s="56">
        <f t="shared" si="6"/>
        <v>6</v>
      </c>
      <c r="X26" s="33">
        <f t="shared" si="16"/>
        <v>1055.6688229644667</v>
      </c>
      <c r="Y26" s="35">
        <f t="shared" si="7"/>
        <v>1086.104377995674</v>
      </c>
      <c r="Z26" s="52"/>
      <c r="AA26" s="2">
        <f t="shared" si="21"/>
        <v>5</v>
      </c>
      <c r="AB26" s="36" cm="1">
        <f t="array" ref="AB26">_xlfn.XLOOKUP(MIN(IF(S$20:S$148&gt;=Y25,S$20:S$148)),S$20:S$148,R$20:R$148)</f>
        <v>6</v>
      </c>
      <c r="AC26" s="37" cm="1">
        <f t="array" ref="AC26">_xlfn.XLOOKUP(MAX(IF(S$20:S$148&lt;=Y26,S$20:S$148)),S$20:S$148,R$20:R$148)</f>
        <v>7</v>
      </c>
      <c r="AD26" s="2" cm="1">
        <f t="array" ref="AD26">_xlfn.XLOOKUP(MIN(IF(S$20:S$148&gt;=Y26,S$20:S$148)),S$20:S$148,R$20:R$148)</f>
        <v>8</v>
      </c>
      <c r="AE26" s="38" cm="1">
        <f t="array" ref="AE26">_xlfn.XLOOKUP(MAX(IF(S$20:S$148&lt;=Y27,S$20:S$148)),S$20:S$148,R$20:R$148)</f>
        <v>9</v>
      </c>
      <c r="AF26" s="11" cm="1">
        <f t="array" ref="AF26">SUMPRODUCT(IF(S$20:S$148&lt;Y25,0,IF(S$20:S$148&gt;Y26,0,(X26-V$20:V$148)/(X26-X25) *T$20:T$148)))+SUMPRODUCT(IF(S$20:S$148&gt;Y27,0,IF(S$20:S$148&lt;Y26,0,(V$20:V$148-X26)/(X27-X26) *T$20:T$148)))</f>
        <v>93.80403866840436</v>
      </c>
      <c r="AG26" s="33">
        <f t="shared" si="20"/>
        <v>1.9722215370319822</v>
      </c>
      <c r="AJ26" s="2">
        <f t="shared" si="17"/>
        <v>5</v>
      </c>
      <c r="AK26" s="71" cm="1">
        <f t="array" ref="AK26">SUMPRODUCT(AG$21:AG$40*COS(PI()*AJ26*(2*AJ$21:AJ$40+1)/(2*AB$14)))*SQRT(2/AB$14)/IF($AJ26=0,SQRT(2),1)</f>
        <v>-0.19592280219786837</v>
      </c>
      <c r="AN26" s="72">
        <f t="shared" si="18"/>
        <v>-0.19592280219786837</v>
      </c>
    </row>
    <row r="27" spans="1:40" x14ac:dyDescent="0.35">
      <c r="B27" s="2">
        <f t="shared" si="19"/>
        <v>7</v>
      </c>
      <c r="C27" s="5" t="str">
        <f t="shared" si="8"/>
        <v/>
      </c>
      <c r="D27">
        <f t="shared" si="9"/>
        <v>423</v>
      </c>
      <c r="E27" s="5" t="str">
        <f t="shared" si="10"/>
        <v/>
      </c>
      <c r="F27" s="15">
        <f t="shared" si="0"/>
        <v>178929</v>
      </c>
      <c r="G27" s="2">
        <f t="shared" si="1"/>
        <v>7</v>
      </c>
      <c r="H27" s="45">
        <f t="shared" si="2"/>
        <v>5.2526831619321976</v>
      </c>
      <c r="I27" s="45">
        <f t="shared" si="11"/>
        <v>36.768782133525384</v>
      </c>
      <c r="J27" s="46">
        <f t="shared" si="12"/>
        <v>49</v>
      </c>
      <c r="K27" s="2"/>
      <c r="L27" s="2">
        <f t="shared" si="3"/>
        <v>7</v>
      </c>
      <c r="M27" s="18">
        <f t="shared" si="4"/>
        <v>423</v>
      </c>
      <c r="N27" s="20">
        <v>0</v>
      </c>
      <c r="O27" s="18" cm="1">
        <f t="array" ref="O27">SUMPRODUCT(M$20:M$275*COS(2*PI()*L27/L$19*L$20:L$275)+N$20:N$275*SIN(2*PI()*L27/L$19*L$20:L$275))</f>
        <v>-12057.190895418158</v>
      </c>
      <c r="P27" s="20" cm="1">
        <f t="array" ref="P27">SUMPRODUCT(N$20:N$275*COS(2*PI()*L26/L$19*L$20:L$275)+M$20:M$275*SIN(2*PI()*L27/L$19*L$20:L$275))</f>
        <v>8765.4470318858966</v>
      </c>
      <c r="R27" s="2">
        <f t="shared" si="13"/>
        <v>7</v>
      </c>
      <c r="S27" s="54">
        <f t="shared" si="5"/>
        <v>977.5390625</v>
      </c>
      <c r="T27" s="28">
        <f t="shared" si="14"/>
        <v>58.229193244303524</v>
      </c>
      <c r="V27" s="11">
        <f t="shared" si="15"/>
        <v>984.99609154429515</v>
      </c>
      <c r="W27" s="56">
        <f t="shared" si="6"/>
        <v>7</v>
      </c>
      <c r="X27" s="33">
        <f t="shared" si="16"/>
        <v>1231.6136267918778</v>
      </c>
      <c r="Y27" s="35">
        <f t="shared" ref="Y27:Y39" si="22">700*(10^(X27/2595)-1)</f>
        <v>1387.8933008212837</v>
      </c>
      <c r="Z27" s="52"/>
      <c r="AA27" s="2">
        <f t="shared" si="21"/>
        <v>6</v>
      </c>
      <c r="AB27" s="36" cm="1">
        <f t="array" ref="AB27">_xlfn.XLOOKUP(MIN(IF(S$20:S$148&gt;=Y26,S$20:S$148)),S$20:S$148,R$20:R$148)</f>
        <v>8</v>
      </c>
      <c r="AC27" s="37" cm="1">
        <f t="array" ref="AC27">_xlfn.XLOOKUP(MAX(IF(S$20:S$148&lt;=Y27,S$20:S$148)),S$20:S$148,R$20:R$148)</f>
        <v>9</v>
      </c>
      <c r="AD27" s="2" cm="1">
        <f t="array" ref="AD27">_xlfn.XLOOKUP(MIN(IF(S$20:S$148&gt;=Y27,S$20:S$148)),S$20:S$148,R$20:R$148)</f>
        <v>10</v>
      </c>
      <c r="AE27" s="38" cm="1">
        <f t="array" ref="AE27">_xlfn.XLOOKUP(MAX(IF(S$20:S$148&lt;=Y28,S$20:S$148)),S$20:S$148,R$20:R$148)</f>
        <v>12</v>
      </c>
      <c r="AF27" s="11" cm="1">
        <f t="array" ref="AF27">SUMPRODUCT(IF(S$20:S$148&lt;Y26,0,IF(S$20:S$148&gt;Y27,0,(X27-V$20:V$148)/(X27-X26) *T$20:T$148)))+SUMPRODUCT(IF(S$20:S$148&gt;Y28,0,IF(S$20:S$148&lt;Y27,0,(V$20:V$148-X27)/(X28-X27) *T$20:T$148)))</f>
        <v>64.355608776026031</v>
      </c>
      <c r="AG27" s="33">
        <f t="shared" si="20"/>
        <v>1.8085864029005319</v>
      </c>
      <c r="AJ27" s="2">
        <f t="shared" si="17"/>
        <v>6</v>
      </c>
      <c r="AK27" s="71" cm="1">
        <f t="array" ref="AK27">SUMPRODUCT(AG$21:AG$40*COS(PI()*AJ27*(2*AJ$21:AJ$40+1)/(2*AB$14)))*SQRT(2/AB$14)/IF($AJ27=0,SQRT(2),1)</f>
        <v>0.16387207086558139</v>
      </c>
      <c r="AN27" s="72">
        <f t="shared" si="18"/>
        <v>0.16387207086558139</v>
      </c>
    </row>
    <row r="28" spans="1:40" x14ac:dyDescent="0.35">
      <c r="B28" s="2">
        <f t="shared" si="19"/>
        <v>8</v>
      </c>
      <c r="C28" s="5" t="str">
        <f t="shared" si="8"/>
        <v/>
      </c>
      <c r="D28">
        <f t="shared" si="9"/>
        <v>206</v>
      </c>
      <c r="E28" s="5" t="str">
        <f t="shared" si="10"/>
        <v/>
      </c>
      <c r="F28" s="15">
        <f t="shared" si="0"/>
        <v>42436</v>
      </c>
      <c r="G28" s="2">
        <f t="shared" si="1"/>
        <v>8</v>
      </c>
      <c r="H28" s="45">
        <f t="shared" si="2"/>
        <v>4.6277446747227762</v>
      </c>
      <c r="I28" s="45">
        <f t="shared" si="11"/>
        <v>37.021957397782209</v>
      </c>
      <c r="J28" s="46">
        <f t="shared" si="12"/>
        <v>64</v>
      </c>
      <c r="K28" s="2"/>
      <c r="L28" s="2">
        <f t="shared" si="3"/>
        <v>8</v>
      </c>
      <c r="M28" s="18">
        <f t="shared" si="4"/>
        <v>206</v>
      </c>
      <c r="N28" s="20">
        <v>0</v>
      </c>
      <c r="O28" s="18" cm="1">
        <f t="array" ref="O28">SUMPRODUCT(M$20:M$275*COS(2*PI()*L28/L$19*L$20:L$275)+N$20:N$275*SIN(2*PI()*L28/L$19*L$20:L$275))</f>
        <v>-6061.2421743131526</v>
      </c>
      <c r="P28" s="20" cm="1">
        <f t="array" ref="P28">SUMPRODUCT(N$20:N$275*COS(2*PI()*L27/L$19*L$20:L$275)+M$20:M$275*SIN(2*PI()*L28/L$19*L$20:L$275))</f>
        <v>-6500.9690053095173</v>
      </c>
      <c r="R28" s="2">
        <f t="shared" si="13"/>
        <v>8</v>
      </c>
      <c r="S28" s="54">
        <f t="shared" si="5"/>
        <v>1117.1875</v>
      </c>
      <c r="T28" s="28">
        <f t="shared" si="14"/>
        <v>34.719785154809031</v>
      </c>
      <c r="V28" s="11">
        <f t="shared" si="15"/>
        <v>1075.1129133951399</v>
      </c>
      <c r="W28" s="56">
        <f t="shared" si="6"/>
        <v>8</v>
      </c>
      <c r="X28" s="33">
        <f t="shared" si="16"/>
        <v>1407.5584306192889</v>
      </c>
      <c r="Y28" s="35">
        <f t="shared" si="22"/>
        <v>1740.6739546242541</v>
      </c>
      <c r="Z28" s="52"/>
      <c r="AA28" s="2">
        <f t="shared" si="21"/>
        <v>7</v>
      </c>
      <c r="AB28" s="36" cm="1">
        <f t="array" ref="AB28">_xlfn.XLOOKUP(MIN(IF(S$20:S$148&gt;=Y27,S$20:S$148)),S$20:S$148,R$20:R$148)</f>
        <v>10</v>
      </c>
      <c r="AC28" s="37" cm="1">
        <f t="array" ref="AC28">_xlfn.XLOOKUP(MAX(IF(S$20:S$148&lt;=Y28,S$20:S$148)),S$20:S$148,R$20:R$148)</f>
        <v>12</v>
      </c>
      <c r="AD28" s="2" cm="1">
        <f t="array" ref="AD28">_xlfn.XLOOKUP(MIN(IF(S$20:S$148&gt;=Y28,S$20:S$148)),S$20:S$148,R$20:R$148)</f>
        <v>13</v>
      </c>
      <c r="AE28" s="38" cm="1">
        <f t="array" ref="AE28">_xlfn.XLOOKUP(MAX(IF(S$20:S$148&lt;=Y29,S$20:S$148)),S$20:S$148,R$20:R$148)</f>
        <v>15</v>
      </c>
      <c r="AF28" s="11" cm="1">
        <f t="array" ref="AF28">SUMPRODUCT(IF(S$20:S$148&lt;Y27,0,IF(S$20:S$148&gt;Y28,0,(X28-V$20:V$148)/(X28-X27) *T$20:T$148)))+SUMPRODUCT(IF(S$20:S$148&gt;Y29,0,IF(S$20:S$148&lt;Y28,0,(V$20:V$148-X28)/(X29-X28) *T$20:T$148)))</f>
        <v>28.165710269429802</v>
      </c>
      <c r="AG28" s="33">
        <f t="shared" si="20"/>
        <v>1.4497207075402891</v>
      </c>
      <c r="AJ28" s="2">
        <f t="shared" si="17"/>
        <v>7</v>
      </c>
      <c r="AK28" s="71" cm="1">
        <f t="array" ref="AK28">SUMPRODUCT(AG$21:AG$40*COS(PI()*AJ28*(2*AJ$21:AJ$40+1)/(2*AB$14)))*SQRT(2/AB$14)/IF($AJ28=0,SQRT(2),1)</f>
        <v>0.33458802040046126</v>
      </c>
      <c r="AN28" s="72">
        <f t="shared" si="18"/>
        <v>0.33458802040046126</v>
      </c>
    </row>
    <row r="29" spans="1:40" x14ac:dyDescent="0.35">
      <c r="B29" s="2">
        <f t="shared" si="19"/>
        <v>9</v>
      </c>
      <c r="C29" s="5" t="str">
        <f t="shared" si="8"/>
        <v/>
      </c>
      <c r="D29">
        <f t="shared" si="9"/>
        <v>-40</v>
      </c>
      <c r="E29" s="5">
        <f t="shared" si="10"/>
        <v>1</v>
      </c>
      <c r="F29" s="15">
        <f t="shared" si="0"/>
        <v>1600</v>
      </c>
      <c r="G29" s="2">
        <f t="shared" si="1"/>
        <v>9</v>
      </c>
      <c r="H29" s="45">
        <f t="shared" si="2"/>
        <v>3.2043913319192998</v>
      </c>
      <c r="I29" s="45">
        <f t="shared" si="11"/>
        <v>28.839521987273699</v>
      </c>
      <c r="J29" s="46">
        <f t="shared" si="12"/>
        <v>81</v>
      </c>
      <c r="K29" s="2"/>
      <c r="L29" s="2">
        <f t="shared" si="3"/>
        <v>9</v>
      </c>
      <c r="M29" s="18">
        <f t="shared" si="4"/>
        <v>-40</v>
      </c>
      <c r="N29" s="20">
        <v>0</v>
      </c>
      <c r="O29" s="18" cm="1">
        <f t="array" ref="O29">SUMPRODUCT(M$20:M$275*COS(2*PI()*L29/L$19*L$20:L$275)+N$20:N$275*SIN(2*PI()*L29/L$19*L$20:L$275))</f>
        <v>10523.866157391836</v>
      </c>
      <c r="P29" s="20" cm="1">
        <f t="array" ref="P29">SUMPRODUCT(N$20:N$275*COS(2*PI()*L28/L$19*L$20:L$275)+M$20:M$275*SIN(2*PI()*L29/L$19*L$20:L$275))</f>
        <v>3101.1953872296094</v>
      </c>
      <c r="R29" s="2">
        <f t="shared" si="13"/>
        <v>9</v>
      </c>
      <c r="S29" s="54">
        <f t="shared" si="5"/>
        <v>1256.8359375</v>
      </c>
      <c r="T29" s="28">
        <f t="shared" si="14"/>
        <v>42.856595770459698</v>
      </c>
      <c r="V29" s="11">
        <f t="shared" si="15"/>
        <v>1158.5542947222689</v>
      </c>
      <c r="W29" s="56">
        <f t="shared" si="6"/>
        <v>9</v>
      </c>
      <c r="X29" s="33">
        <f t="shared" si="16"/>
        <v>1583.5032344466999</v>
      </c>
      <c r="Y29" s="35">
        <f t="shared" si="22"/>
        <v>2153.0621514222121</v>
      </c>
      <c r="Z29" s="52"/>
      <c r="AA29" s="2">
        <f t="shared" si="21"/>
        <v>8</v>
      </c>
      <c r="AB29" s="36" cm="1">
        <f t="array" ref="AB29">_xlfn.XLOOKUP(MIN(IF(S$20:S$148&gt;=Y28,S$20:S$148)),S$20:S$148,R$20:R$148)</f>
        <v>13</v>
      </c>
      <c r="AC29" s="37" cm="1">
        <f t="array" ref="AC29">_xlfn.XLOOKUP(MAX(IF(S$20:S$148&lt;=Y29,S$20:S$148)),S$20:S$148,R$20:R$148)</f>
        <v>15</v>
      </c>
      <c r="AD29" s="2" cm="1">
        <f t="array" ref="AD29">_xlfn.XLOOKUP(MIN(IF(S$20:S$148&gt;=Y29,S$20:S$148)),S$20:S$148,R$20:R$148)</f>
        <v>16</v>
      </c>
      <c r="AE29" s="38" cm="1">
        <f t="array" ref="AE29">_xlfn.XLOOKUP(MAX(IF(S$20:S$148&lt;=Y30,S$20:S$148)),S$20:S$148,R$20:R$148)</f>
        <v>18</v>
      </c>
      <c r="AF29" s="11" cm="1">
        <f t="array" ref="AF29">SUMPRODUCT(IF(S$20:S$148&lt;Y28,0,IF(S$20:S$148&gt;Y29,0,(X29-V$20:V$148)/(X29-X28) *T$20:T$148)))+SUMPRODUCT(IF(S$20:S$148&gt;Y30,0,IF(S$20:S$148&lt;Y29,0,(V$20:V$148-X29)/(X30-X29) *T$20:T$148)))</f>
        <v>22.406882159166795</v>
      </c>
      <c r="AG29" s="33">
        <f t="shared" si="20"/>
        <v>1.3503814301507944</v>
      </c>
      <c r="AJ29" s="2">
        <f t="shared" si="17"/>
        <v>8</v>
      </c>
      <c r="AK29" s="71" cm="1">
        <f t="array" ref="AK29">SUMPRODUCT(AG$21:AG$40*COS(PI()*AJ29*(2*AJ$21:AJ$40+1)/(2*AB$14)))*SQRT(2/AB$14)/IF($AJ29=0,SQRT(2),1)</f>
        <v>0.2762154614919573</v>
      </c>
      <c r="AN29" s="72">
        <f t="shared" si="18"/>
        <v>0.2762154614919573</v>
      </c>
    </row>
    <row r="30" spans="1:40" x14ac:dyDescent="0.35">
      <c r="B30" s="2">
        <f t="shared" si="19"/>
        <v>10</v>
      </c>
      <c r="C30" s="5" t="str">
        <f t="shared" si="8"/>
        <v/>
      </c>
      <c r="D30">
        <f t="shared" si="9"/>
        <v>-121</v>
      </c>
      <c r="E30" s="5" t="str">
        <f t="shared" si="10"/>
        <v/>
      </c>
      <c r="F30" s="15">
        <f t="shared" si="0"/>
        <v>14641</v>
      </c>
      <c r="G30" s="2">
        <f t="shared" si="1"/>
        <v>10</v>
      </c>
      <c r="H30" s="45">
        <f t="shared" si="2"/>
        <v>4.1656004025174118</v>
      </c>
      <c r="I30" s="45">
        <f t="shared" si="11"/>
        <v>41.65600402517412</v>
      </c>
      <c r="J30" s="46">
        <f t="shared" si="12"/>
        <v>100</v>
      </c>
      <c r="K30" s="2"/>
      <c r="L30" s="2">
        <f t="shared" si="3"/>
        <v>10</v>
      </c>
      <c r="M30" s="18">
        <f t="shared" si="4"/>
        <v>-121</v>
      </c>
      <c r="N30" s="20">
        <v>0</v>
      </c>
      <c r="O30" s="18" cm="1">
        <f t="array" ref="O30">SUMPRODUCT(M$20:M$275*COS(2*PI()*L30/L$19*L$20:L$275)+N$20:N$275*SIN(2*PI()*L30/L$19*L$20:L$275))</f>
        <v>2544.6586983642528</v>
      </c>
      <c r="P30" s="20" cm="1">
        <f t="array" ref="P30">SUMPRODUCT(N$20:N$275*COS(2*PI()*L29/L$19*L$20:L$275)+M$20:M$275*SIN(2*PI()*L30/L$19*L$20:L$275))</f>
        <v>-220.54506702613068</v>
      </c>
      <c r="R30" s="2">
        <f t="shared" si="13"/>
        <v>10</v>
      </c>
      <c r="S30" s="54">
        <f t="shared" si="5"/>
        <v>1396.484375</v>
      </c>
      <c r="T30" s="28">
        <f t="shared" si="14"/>
        <v>9.9773363921332887</v>
      </c>
      <c r="V30" s="11">
        <f t="shared" si="15"/>
        <v>1236.241365948611</v>
      </c>
      <c r="W30" s="56">
        <f t="shared" si="6"/>
        <v>10</v>
      </c>
      <c r="X30" s="33">
        <f t="shared" si="16"/>
        <v>1759.448038274111</v>
      </c>
      <c r="Y30" s="35">
        <f t="shared" si="22"/>
        <v>2635.1294729291699</v>
      </c>
      <c r="Z30" s="52"/>
      <c r="AA30" s="2">
        <f t="shared" si="21"/>
        <v>9</v>
      </c>
      <c r="AB30" s="36" cm="1">
        <f t="array" ref="AB30">_xlfn.XLOOKUP(MIN(IF(S$20:S$148&gt;=Y29,S$20:S$148)),S$20:S$148,R$20:R$148)</f>
        <v>16</v>
      </c>
      <c r="AC30" s="37" cm="1">
        <f t="array" ref="AC30">_xlfn.XLOOKUP(MAX(IF(S$20:S$148&lt;=Y30,S$20:S$148)),S$20:S$148,R$20:R$148)</f>
        <v>18</v>
      </c>
      <c r="AD30" s="2" cm="1">
        <f t="array" ref="AD30">_xlfn.XLOOKUP(MIN(IF(S$20:S$148&gt;=Y30,S$20:S$148)),S$20:S$148,R$20:R$148)</f>
        <v>19</v>
      </c>
      <c r="AE30" s="38" cm="1">
        <f t="array" ref="AE30">_xlfn.XLOOKUP(MAX(IF(S$20:S$148&lt;=Y31,S$20:S$148)),S$20:S$148,R$20:R$148)</f>
        <v>22</v>
      </c>
      <c r="AF30" s="11" cm="1">
        <f t="array" ref="AF30">SUMPRODUCT(IF(S$20:S$148&lt;Y29,0,IF(S$20:S$148&gt;Y30,0,(X30-V$20:V$148)/(X30-X29) *T$20:T$148)))+SUMPRODUCT(IF(S$20:S$148&gt;Y31,0,IF(S$20:S$148&lt;Y30,0,(V$20:V$148-X30)/(X31-X30) *T$20:T$148)))</f>
        <v>23.284969222323866</v>
      </c>
      <c r="AG30" s="33">
        <f t="shared" si="20"/>
        <v>1.3670756682260727</v>
      </c>
      <c r="AJ30" s="2">
        <f t="shared" si="17"/>
        <v>9</v>
      </c>
      <c r="AK30" s="71" cm="1">
        <f t="array" ref="AK30">SUMPRODUCT(AG$21:AG$40*COS(PI()*AJ30*(2*AJ$21:AJ$40+1)/(2*AB$14)))*SQRT(2/AB$14)/IF($AJ30=0,SQRT(2),1)</f>
        <v>-0.14025160555356012</v>
      </c>
      <c r="AN30" s="72">
        <f t="shared" si="18"/>
        <v>-0.14025160555356012</v>
      </c>
    </row>
    <row r="31" spans="1:40" x14ac:dyDescent="0.35">
      <c r="B31" s="2">
        <f t="shared" si="19"/>
        <v>11</v>
      </c>
      <c r="C31" s="5" t="str">
        <f t="shared" si="8"/>
        <v/>
      </c>
      <c r="D31">
        <f t="shared" si="9"/>
        <v>45</v>
      </c>
      <c r="E31" s="5">
        <f t="shared" si="10"/>
        <v>1</v>
      </c>
      <c r="F31" s="15">
        <f t="shared" si="0"/>
        <v>2025</v>
      </c>
      <c r="G31" s="2">
        <f t="shared" si="1"/>
        <v>11</v>
      </c>
      <c r="H31" s="45">
        <f t="shared" si="2"/>
        <v>3.3066394410242617</v>
      </c>
      <c r="I31" s="45">
        <f t="shared" si="11"/>
        <v>36.373033851266875</v>
      </c>
      <c r="J31" s="46">
        <f t="shared" si="12"/>
        <v>121</v>
      </c>
      <c r="K31" s="2"/>
      <c r="L31" s="2">
        <f t="shared" si="3"/>
        <v>11</v>
      </c>
      <c r="M31" s="18">
        <f t="shared" si="4"/>
        <v>45</v>
      </c>
      <c r="N31" s="20">
        <v>0</v>
      </c>
      <c r="O31" s="18" cm="1">
        <f t="array" ref="O31">SUMPRODUCT(M$20:M$275*COS(2*PI()*L31/L$19*L$20:L$275)+N$20:N$275*SIN(2*PI()*L31/L$19*L$20:L$275))</f>
        <v>1465.960618956934</v>
      </c>
      <c r="P31" s="20" cm="1">
        <f t="array" ref="P31">SUMPRODUCT(N$20:N$275*COS(2*PI()*L30/L$19*L$20:L$275)+M$20:M$275*SIN(2*PI()*L31/L$19*L$20:L$275))</f>
        <v>1471.3451970753961</v>
      </c>
      <c r="R31" s="2">
        <f t="shared" si="13"/>
        <v>11</v>
      </c>
      <c r="S31" s="54">
        <f t="shared" si="5"/>
        <v>1536.1328125</v>
      </c>
      <c r="T31" s="28">
        <f t="shared" si="14"/>
        <v>8.1132513703197624</v>
      </c>
      <c r="V31" s="11">
        <f t="shared" si="15"/>
        <v>1308.9168436169607</v>
      </c>
      <c r="W31" s="56">
        <f t="shared" si="6"/>
        <v>11</v>
      </c>
      <c r="X31" s="33">
        <f t="shared" si="16"/>
        <v>1935.3928421015221</v>
      </c>
      <c r="Y31" s="35">
        <f t="shared" si="22"/>
        <v>3198.6492445164918</v>
      </c>
      <c r="Z31" s="52"/>
      <c r="AA31" s="2">
        <f t="shared" si="21"/>
        <v>10</v>
      </c>
      <c r="AB31" s="36" cm="1">
        <f t="array" ref="AB31">_xlfn.XLOOKUP(MIN(IF(S$20:S$148&gt;=Y30,S$20:S$148)),S$20:S$148,R$20:R$148)</f>
        <v>19</v>
      </c>
      <c r="AC31" s="37" cm="1">
        <f t="array" ref="AC31">_xlfn.XLOOKUP(MAX(IF(S$20:S$148&lt;=Y31,S$20:S$148)),S$20:S$148,R$20:R$148)</f>
        <v>22</v>
      </c>
      <c r="AD31" s="2" cm="1">
        <f t="array" ref="AD31">_xlfn.XLOOKUP(MIN(IF(S$20:S$148&gt;=Y31,S$20:S$148)),S$20:S$148,R$20:R$148)</f>
        <v>23</v>
      </c>
      <c r="AE31" s="38" cm="1">
        <f t="array" ref="AE31">_xlfn.XLOOKUP(MAX(IF(S$20:S$148&lt;=Y32,S$20:S$148)),S$20:S$148,R$20:R$148)</f>
        <v>27</v>
      </c>
      <c r="AF31" s="11" cm="1">
        <f t="array" ref="AF31">SUMPRODUCT(IF(S$20:S$148&lt;Y30,0,IF(S$20:S$148&gt;Y31,0,(X31-V$20:V$148)/(X31-X30) *T$20:T$148)))+SUMPRODUCT(IF(S$20:S$148&gt;Y32,0,IF(S$20:S$148&lt;Y31,0,(V$20:V$148-X31)/(X32-X31) *T$20:T$148)))</f>
        <v>48.092251026609702</v>
      </c>
      <c r="AG31" s="33">
        <f t="shared" si="20"/>
        <v>1.6820751053240812</v>
      </c>
      <c r="AJ31" s="2">
        <f t="shared" si="17"/>
        <v>10</v>
      </c>
      <c r="AK31" s="71" cm="1">
        <f t="array" ref="AK31">SUMPRODUCT(AG$21:AG$40*COS(PI()*AJ31*(2*AJ$21:AJ$40+1)/(2*AB$14)))*SQRT(2/AB$14)/IF($AJ31=0,SQRT(2),1)</f>
        <v>-0.11417817007679382</v>
      </c>
      <c r="AN31" s="72">
        <f t="shared" si="18"/>
        <v>-0.11417817007679382</v>
      </c>
    </row>
    <row r="32" spans="1:40" x14ac:dyDescent="0.35">
      <c r="B32" s="2">
        <f t="shared" si="19"/>
        <v>12</v>
      </c>
      <c r="C32" s="5" t="str">
        <f t="shared" si="8"/>
        <v/>
      </c>
      <c r="D32">
        <f t="shared" si="9"/>
        <v>221</v>
      </c>
      <c r="E32" s="5" t="str">
        <f t="shared" si="10"/>
        <v/>
      </c>
      <c r="F32" s="15">
        <f t="shared" si="0"/>
        <v>48841</v>
      </c>
      <c r="G32" s="2">
        <f t="shared" si="1"/>
        <v>12</v>
      </c>
      <c r="H32" s="45">
        <f t="shared" si="2"/>
        <v>4.6887934392855373</v>
      </c>
      <c r="I32" s="45">
        <f t="shared" si="11"/>
        <v>56.265521271426451</v>
      </c>
      <c r="J32" s="46">
        <f t="shared" si="12"/>
        <v>144</v>
      </c>
      <c r="K32" s="2"/>
      <c r="L32" s="2">
        <f t="shared" si="3"/>
        <v>12</v>
      </c>
      <c r="M32" s="18">
        <f t="shared" si="4"/>
        <v>221</v>
      </c>
      <c r="N32" s="20">
        <v>0</v>
      </c>
      <c r="O32" s="18" cm="1">
        <f t="array" ref="O32">SUMPRODUCT(M$20:M$275*COS(2*PI()*L32/L$19*L$20:L$275)+N$20:N$275*SIN(2*PI()*L32/L$19*L$20:L$275))</f>
        <v>586.48305200776394</v>
      </c>
      <c r="P32" s="20" cm="1">
        <f t="array" ref="P32">SUMPRODUCT(N$20:N$275*COS(2*PI()*L31/L$19*L$20:L$275)+M$20:M$275*SIN(2*PI()*L32/L$19*L$20:L$275))</f>
        <v>3619.2491993088029</v>
      </c>
      <c r="R32" s="2">
        <f t="shared" si="13"/>
        <v>12</v>
      </c>
      <c r="S32" s="54">
        <f t="shared" si="5"/>
        <v>1675.78125</v>
      </c>
      <c r="T32" s="28">
        <f t="shared" si="14"/>
        <v>14.322108419010229</v>
      </c>
      <c r="V32" s="11">
        <f t="shared" si="15"/>
        <v>1377.1883252008081</v>
      </c>
      <c r="W32" s="56">
        <f t="shared" si="6"/>
        <v>12</v>
      </c>
      <c r="X32" s="33">
        <f t="shared" si="16"/>
        <v>2111.3376459289334</v>
      </c>
      <c r="Y32" s="35">
        <f t="shared" si="22"/>
        <v>3857.3840701361619</v>
      </c>
      <c r="Z32" s="52"/>
      <c r="AA32" s="2">
        <f t="shared" si="21"/>
        <v>11</v>
      </c>
      <c r="AB32" s="36" cm="1">
        <f t="array" ref="AB32">_xlfn.XLOOKUP(MIN(IF(S$20:S$148&gt;=Y31,S$20:S$148)),S$20:S$148,R$20:R$148)</f>
        <v>23</v>
      </c>
      <c r="AC32" s="37" cm="1">
        <f t="array" ref="AC32">_xlfn.XLOOKUP(MAX(IF(S$20:S$148&lt;=Y32,S$20:S$148)),S$20:S$148,R$20:R$148)</f>
        <v>27</v>
      </c>
      <c r="AD32" s="2" cm="1">
        <f t="array" ref="AD32">_xlfn.XLOOKUP(MIN(IF(S$20:S$148&gt;=Y32,S$20:S$148)),S$20:S$148,R$20:R$148)</f>
        <v>28</v>
      </c>
      <c r="AE32" s="38" cm="1">
        <f t="array" ref="AE32">_xlfn.XLOOKUP(MAX(IF(S$20:S$148&lt;=Y33,S$20:S$148)),S$20:S$148,R$20:R$148)</f>
        <v>33</v>
      </c>
      <c r="AF32" s="11" cm="1">
        <f t="array" ref="AF32">SUMPRODUCT(IF(S$20:S$148&lt;Y31,0,IF(S$20:S$148&gt;Y32,0,(X32-V$20:V$148)/(X32-X31) *T$20:T$148)))+SUMPRODUCT(IF(S$20:S$148&gt;Y33,0,IF(S$20:S$148&lt;Y32,0,(V$20:V$148-X32)/(X33-X32) *T$20:T$148)))</f>
        <v>43.058851882691528</v>
      </c>
      <c r="AG32" s="33">
        <f t="shared" si="20"/>
        <v>1.6340624456533026</v>
      </c>
      <c r="AJ32" s="2">
        <f t="shared" si="17"/>
        <v>11</v>
      </c>
      <c r="AK32" s="71" cm="1">
        <f t="array" ref="AK32">SUMPRODUCT(AG$21:AG$40*COS(PI()*AJ32*(2*AJ$21:AJ$40+1)/(2*AB$14)))*SQRT(2/AB$14)/IF($AJ32=0,SQRT(2),1)</f>
        <v>-1.5331346581145579E-2</v>
      </c>
      <c r="AN32" s="72">
        <f t="shared" si="18"/>
        <v>-1.5331346581145579E-2</v>
      </c>
    </row>
    <row r="33" spans="2:40" x14ac:dyDescent="0.35">
      <c r="B33" s="2">
        <f t="shared" si="19"/>
        <v>13</v>
      </c>
      <c r="C33" s="5" t="str">
        <f t="shared" si="8"/>
        <v/>
      </c>
      <c r="D33">
        <f t="shared" si="9"/>
        <v>166</v>
      </c>
      <c r="E33" s="5" t="str">
        <f t="shared" si="10"/>
        <v/>
      </c>
      <c r="F33" s="15">
        <f t="shared" si="0"/>
        <v>27556</v>
      </c>
      <c r="G33" s="2">
        <f t="shared" si="1"/>
        <v>13</v>
      </c>
      <c r="H33" s="45">
        <f t="shared" si="2"/>
        <v>4.4402319362267892</v>
      </c>
      <c r="I33" s="45">
        <f t="shared" si="11"/>
        <v>57.723015170948258</v>
      </c>
      <c r="J33" s="46">
        <f t="shared" si="12"/>
        <v>169</v>
      </c>
      <c r="K33" s="2"/>
      <c r="L33" s="2">
        <f t="shared" si="3"/>
        <v>13</v>
      </c>
      <c r="M33" s="18">
        <f t="shared" si="4"/>
        <v>166</v>
      </c>
      <c r="N33" s="20">
        <v>0</v>
      </c>
      <c r="O33" s="18" cm="1">
        <f t="array" ref="O33">SUMPRODUCT(M$20:M$275*COS(2*PI()*L33/L$19*L$20:L$275)+N$20:N$275*SIN(2*PI()*L33/L$19*L$20:L$275))</f>
        <v>-598.69660954501217</v>
      </c>
      <c r="P33" s="20" cm="1">
        <f t="array" ref="P33">SUMPRODUCT(N$20:N$275*COS(2*PI()*L32/L$19*L$20:L$275)+M$20:M$275*SIN(2*PI()*L33/L$19*L$20:L$275))</f>
        <v>2333.5457002804105</v>
      </c>
      <c r="R33" s="2">
        <f t="shared" si="13"/>
        <v>13</v>
      </c>
      <c r="S33" s="54">
        <f t="shared" si="5"/>
        <v>1815.4296875</v>
      </c>
      <c r="T33" s="28">
        <f t="shared" si="14"/>
        <v>9.4106363429396787</v>
      </c>
      <c r="V33" s="11">
        <f t="shared" si="15"/>
        <v>1441.5591990323903</v>
      </c>
      <c r="W33" s="56">
        <f t="shared" si="6"/>
        <v>13</v>
      </c>
      <c r="X33" s="33">
        <f t="shared" si="16"/>
        <v>2287.2824497563447</v>
      </c>
      <c r="Y33" s="35">
        <f t="shared" si="22"/>
        <v>4627.4219505496203</v>
      </c>
      <c r="Z33" s="52"/>
      <c r="AA33" s="2">
        <f t="shared" si="21"/>
        <v>12</v>
      </c>
      <c r="AB33" s="36" cm="1">
        <f t="array" ref="AB33">_xlfn.XLOOKUP(MIN(IF(S$20:S$148&gt;=Y32,S$20:S$148)),S$20:S$148,R$20:R$148)</f>
        <v>28</v>
      </c>
      <c r="AC33" s="37" cm="1">
        <f t="array" ref="AC33">_xlfn.XLOOKUP(MAX(IF(S$20:S$148&lt;=Y33,S$20:S$148)),S$20:S$148,R$20:R$148)</f>
        <v>33</v>
      </c>
      <c r="AD33" s="2" cm="1">
        <f t="array" ref="AD33">_xlfn.XLOOKUP(MIN(IF(S$20:S$148&gt;=Y33,S$20:S$148)),S$20:S$148,R$20:R$148)</f>
        <v>34</v>
      </c>
      <c r="AE33" s="38" cm="1">
        <f t="array" ref="AE33">_xlfn.XLOOKUP(MAX(IF(S$20:S$148&lt;=Y34,S$20:S$148)),S$20:S$148,R$20:R$148)</f>
        <v>39</v>
      </c>
      <c r="AF33" s="11" cm="1">
        <f t="array" ref="AF33">SUMPRODUCT(IF(S$20:S$148&lt;Y32,0,IF(S$20:S$148&gt;Y33,0,(X33-V$20:V$148)/(X33-X32) *T$20:T$148)))+SUMPRODUCT(IF(S$20:S$148&gt;Y34,0,IF(S$20:S$148&lt;Y33,0,(V$20:V$148-X33)/(X34-X33) *T$20:T$148)))</f>
        <v>38.168849381761419</v>
      </c>
      <c r="AG33" s="33">
        <f t="shared" si="20"/>
        <v>1.5817090681313446</v>
      </c>
      <c r="AJ33" s="2">
        <f t="shared" si="17"/>
        <v>12</v>
      </c>
      <c r="AK33" s="71" cm="1">
        <f t="array" ref="AK33">SUMPRODUCT(AG$21:AG$40*COS(PI()*AJ33*(2*AJ$21:AJ$40+1)/(2*AB$14)))*SQRT(2/AB$14)/IF($AJ33=0,SQRT(2),1)</f>
        <v>-1.4885237136930534E-2</v>
      </c>
      <c r="AN33" s="72">
        <f t="shared" si="18"/>
        <v>-1.4885237136930534E-2</v>
      </c>
    </row>
    <row r="34" spans="2:40" x14ac:dyDescent="0.35">
      <c r="B34" s="2">
        <f t="shared" ref="B34:B97" si="23">B33+1</f>
        <v>14</v>
      </c>
      <c r="C34" s="5" t="str">
        <f t="shared" si="8"/>
        <v/>
      </c>
      <c r="D34">
        <f t="shared" si="9"/>
        <v>-7</v>
      </c>
      <c r="E34" s="5">
        <f t="shared" si="10"/>
        <v>1</v>
      </c>
      <c r="F34" s="15">
        <f t="shared" si="0"/>
        <v>49</v>
      </c>
      <c r="G34" s="2">
        <f t="shared" si="1"/>
        <v>14</v>
      </c>
      <c r="H34" s="45">
        <f t="shared" si="2"/>
        <v>1.6989700043360187</v>
      </c>
      <c r="I34" s="45">
        <f t="shared" si="11"/>
        <v>23.785580060704262</v>
      </c>
      <c r="J34" s="46">
        <f t="shared" si="12"/>
        <v>196</v>
      </c>
      <c r="K34" s="2"/>
      <c r="L34" s="2">
        <f t="shared" si="3"/>
        <v>14</v>
      </c>
      <c r="M34" s="18">
        <f t="shared" si="4"/>
        <v>-7</v>
      </c>
      <c r="N34" s="20">
        <v>0</v>
      </c>
      <c r="O34" s="18" cm="1">
        <f t="array" ref="O34">SUMPRODUCT(M$20:M$275*COS(2*PI()*L34/L$19*L$20:L$275)+N$20:N$275*SIN(2*PI()*L34/L$19*L$20:L$275))</f>
        <v>1893.3305833723466</v>
      </c>
      <c r="P34" s="20" cm="1">
        <f t="array" ref="P34">SUMPRODUCT(N$20:N$275*COS(2*PI()*L33/L$19*L$20:L$275)+M$20:M$275*SIN(2*PI()*L34/L$19*L$20:L$275))</f>
        <v>2074.8601128220371</v>
      </c>
      <c r="R34" s="2">
        <f t="shared" si="13"/>
        <v>14</v>
      </c>
      <c r="S34" s="54">
        <f t="shared" si="5"/>
        <v>1955.078125</v>
      </c>
      <c r="T34" s="28">
        <f t="shared" si="14"/>
        <v>10.972144619246901</v>
      </c>
      <c r="V34" s="11">
        <f t="shared" si="15"/>
        <v>1502.451191627023</v>
      </c>
      <c r="W34" s="56">
        <f t="shared" si="6"/>
        <v>14</v>
      </c>
      <c r="X34" s="33">
        <f t="shared" si="16"/>
        <v>2463.227253583756</v>
      </c>
      <c r="Y34" s="35">
        <f t="shared" si="22"/>
        <v>5527.5691937348529</v>
      </c>
      <c r="Z34" s="52"/>
      <c r="AA34" s="2">
        <f t="shared" si="21"/>
        <v>13</v>
      </c>
      <c r="AB34" s="36" cm="1">
        <f t="array" ref="AB34">_xlfn.XLOOKUP(MIN(IF(S$20:S$148&gt;=Y33,S$20:S$148)),S$20:S$148,R$20:R$148)</f>
        <v>34</v>
      </c>
      <c r="AC34" s="37" cm="1">
        <f t="array" ref="AC34">_xlfn.XLOOKUP(MAX(IF(S$20:S$148&lt;=Y34,S$20:S$148)),S$20:S$148,R$20:R$148)</f>
        <v>39</v>
      </c>
      <c r="AD34" s="2" cm="1">
        <f t="array" ref="AD34">_xlfn.XLOOKUP(MIN(IF(S$20:S$148&gt;=Y34,S$20:S$148)),S$20:S$148,R$20:R$148)</f>
        <v>40</v>
      </c>
      <c r="AE34" s="38" cm="1">
        <f t="array" ref="AE34">_xlfn.XLOOKUP(MAX(IF(S$20:S$148&lt;=Y35,S$20:S$148)),S$20:S$148,R$20:R$148)</f>
        <v>47</v>
      </c>
      <c r="AF34" s="11" cm="1">
        <f t="array" ref="AF34">SUMPRODUCT(IF(S$20:S$148&lt;Y33,0,IF(S$20:S$148&gt;Y34,0,(X34-V$20:V$148)/(X34-X33) *T$20:T$148)))+SUMPRODUCT(IF(S$20:S$148&gt;Y35,0,IF(S$20:S$148&lt;Y34,0,(V$20:V$148-X34)/(X35-X34) *T$20:T$148)))</f>
        <v>40.543105437089082</v>
      </c>
      <c r="AG34" s="33">
        <f t="shared" si="20"/>
        <v>1.6079170108231686</v>
      </c>
      <c r="AJ34" s="2">
        <f t="shared" si="17"/>
        <v>13</v>
      </c>
      <c r="AK34" s="71" cm="1">
        <f t="array" ref="AK34">SUMPRODUCT(AG$21:AG$40*COS(PI()*AJ34*(2*AJ$21:AJ$40+1)/(2*AB$14)))*SQRT(2/AB$14)/IF($AJ34=0,SQRT(2),1)</f>
        <v>-3.48654709824728E-2</v>
      </c>
      <c r="AN34" t="str">
        <f t="shared" si="18"/>
        <v/>
      </c>
    </row>
    <row r="35" spans="2:40" x14ac:dyDescent="0.35">
      <c r="B35" s="2">
        <f t="shared" si="23"/>
        <v>15</v>
      </c>
      <c r="C35" s="5" t="str">
        <f t="shared" si="8"/>
        <v/>
      </c>
      <c r="D35">
        <f t="shared" si="9"/>
        <v>-64</v>
      </c>
      <c r="E35" s="5" t="str">
        <f t="shared" si="10"/>
        <v/>
      </c>
      <c r="F35" s="15">
        <f t="shared" si="0"/>
        <v>4096</v>
      </c>
      <c r="G35" s="2">
        <f t="shared" si="1"/>
        <v>15</v>
      </c>
      <c r="H35" s="45">
        <f t="shared" si="2"/>
        <v>3.6124659639531425</v>
      </c>
      <c r="I35" s="45">
        <f t="shared" si="11"/>
        <v>54.186989459297138</v>
      </c>
      <c r="J35" s="46">
        <f t="shared" si="12"/>
        <v>225</v>
      </c>
      <c r="K35" s="2"/>
      <c r="L35" s="2">
        <f t="shared" si="3"/>
        <v>15</v>
      </c>
      <c r="M35" s="18">
        <f t="shared" si="4"/>
        <v>-64</v>
      </c>
      <c r="N35" s="20">
        <v>0</v>
      </c>
      <c r="O35" s="18" cm="1">
        <f t="array" ref="O35">SUMPRODUCT(M$20:M$275*COS(2*PI()*L35/L$19*L$20:L$275)+N$20:N$275*SIN(2*PI()*L35/L$19*L$20:L$275))</f>
        <v>700.21379808440452</v>
      </c>
      <c r="P35" s="20" cm="1">
        <f t="array" ref="P35">SUMPRODUCT(N$20:N$275*COS(2*PI()*L34/L$19*L$20:L$275)+M$20:M$275*SIN(2*PI()*L35/L$19*L$20:L$275))</f>
        <v>835.12436177236259</v>
      </c>
      <c r="R35" s="2">
        <f t="shared" si="13"/>
        <v>15</v>
      </c>
      <c r="S35" s="54">
        <f t="shared" si="5"/>
        <v>2094.7265625</v>
      </c>
      <c r="T35" s="28">
        <f t="shared" si="14"/>
        <v>4.2571531575452548</v>
      </c>
      <c r="V35" s="11">
        <f t="shared" si="15"/>
        <v>1560.2211285775081</v>
      </c>
      <c r="W35" s="56">
        <f t="shared" si="6"/>
        <v>15</v>
      </c>
      <c r="X35" s="33">
        <f t="shared" si="16"/>
        <v>2639.1720574111673</v>
      </c>
      <c r="Y35" s="35">
        <f t="shared" si="22"/>
        <v>6579.8097133556748</v>
      </c>
      <c r="Z35" s="52"/>
      <c r="AA35" s="2">
        <f t="shared" si="21"/>
        <v>14</v>
      </c>
      <c r="AB35" s="36" cm="1">
        <f t="array" ref="AB35">_xlfn.XLOOKUP(MIN(IF(S$20:S$148&gt;=Y34,S$20:S$148)),S$20:S$148,R$20:R$148)</f>
        <v>40</v>
      </c>
      <c r="AC35" s="37" cm="1">
        <f t="array" ref="AC35">_xlfn.XLOOKUP(MAX(IF(S$20:S$148&lt;=Y35,S$20:S$148)),S$20:S$148,R$20:R$148)</f>
        <v>47</v>
      </c>
      <c r="AD35" s="2" cm="1">
        <f t="array" ref="AD35">_xlfn.XLOOKUP(MIN(IF(S$20:S$148&gt;=Y35,S$20:S$148)),S$20:S$148,R$20:R$148)</f>
        <v>48</v>
      </c>
      <c r="AE35" s="38" cm="1">
        <f t="array" ref="AE35">_xlfn.XLOOKUP(MAX(IF(S$20:S$148&lt;=Y36,S$20:S$148)),S$20:S$148,R$20:R$148)</f>
        <v>55</v>
      </c>
      <c r="AF35" s="11" cm="1">
        <f t="array" ref="AF35">SUMPRODUCT(IF(S$20:S$148&lt;Y34,0,IF(S$20:S$148&gt;Y35,0,(X35-V$20:V$148)/(X35-X34) *T$20:T$148)))+SUMPRODUCT(IF(S$20:S$148&gt;Y36,0,IF(S$20:S$148&lt;Y35,0,(V$20:V$148-X35)/(X36-X35) *T$20:T$148)))</f>
        <v>42.339614155483872</v>
      </c>
      <c r="AG35" s="33">
        <f t="shared" si="20"/>
        <v>1.6267468959387601</v>
      </c>
      <c r="AJ35" s="2">
        <f t="shared" si="17"/>
        <v>14</v>
      </c>
      <c r="AK35" s="71" cm="1">
        <f t="array" ref="AK35">SUMPRODUCT(AG$21:AG$40*COS(PI()*AJ35*(2*AJ$21:AJ$40+1)/(2*AB$14)))*SQRT(2/AB$14)/IF($AJ35=0,SQRT(2),1)</f>
        <v>1.8501589496598907E-2</v>
      </c>
      <c r="AN35" t="str">
        <f t="shared" si="18"/>
        <v/>
      </c>
    </row>
    <row r="36" spans="2:40" x14ac:dyDescent="0.35">
      <c r="B36" s="2">
        <f t="shared" si="23"/>
        <v>16</v>
      </c>
      <c r="C36" s="5" t="str">
        <f t="shared" si="8"/>
        <v/>
      </c>
      <c r="D36">
        <f t="shared" si="9"/>
        <v>50</v>
      </c>
      <c r="E36" s="5">
        <f t="shared" si="10"/>
        <v>1</v>
      </c>
      <c r="F36" s="15">
        <f t="shared" si="0"/>
        <v>2500</v>
      </c>
      <c r="G36" s="2">
        <f t="shared" si="1"/>
        <v>16</v>
      </c>
      <c r="H36" s="45">
        <f t="shared" si="2"/>
        <v>3.3981136917305026</v>
      </c>
      <c r="I36" s="45">
        <f t="shared" si="11"/>
        <v>54.369819067688042</v>
      </c>
      <c r="J36" s="46">
        <f t="shared" si="12"/>
        <v>256</v>
      </c>
      <c r="K36" s="2"/>
      <c r="L36" s="2">
        <f t="shared" si="3"/>
        <v>16</v>
      </c>
      <c r="M36" s="18">
        <f t="shared" si="4"/>
        <v>50</v>
      </c>
      <c r="N36" s="20">
        <v>0</v>
      </c>
      <c r="O36" s="18" cm="1">
        <f t="array" ref="O36">SUMPRODUCT(M$20:M$275*COS(2*PI()*L36/L$19*L$20:L$275)+N$20:N$275*SIN(2*PI()*L36/L$19*L$20:L$275))</f>
        <v>514.31890460498028</v>
      </c>
      <c r="P36" s="20" cm="1">
        <f t="array" ref="P36">SUMPRODUCT(N$20:N$275*COS(2*PI()*L35/L$19*L$20:L$275)+M$20:M$275*SIN(2*PI()*L36/L$19*L$20:L$275))</f>
        <v>897.45708141555349</v>
      </c>
      <c r="R36" s="2">
        <f t="shared" si="13"/>
        <v>16</v>
      </c>
      <c r="S36" s="54">
        <f t="shared" si="5"/>
        <v>2234.375</v>
      </c>
      <c r="T36" s="28">
        <f t="shared" si="14"/>
        <v>4.0405679553132581</v>
      </c>
      <c r="V36" s="11">
        <f t="shared" si="15"/>
        <v>1615.1736043534052</v>
      </c>
      <c r="W36" s="56">
        <f t="shared" si="6"/>
        <v>16</v>
      </c>
      <c r="X36" s="33">
        <f t="shared" si="16"/>
        <v>2815.1168612385786</v>
      </c>
      <c r="Y36" s="35">
        <f t="shared" si="22"/>
        <v>7809.841932544573</v>
      </c>
      <c r="Z36" s="52"/>
      <c r="AA36" s="2">
        <f t="shared" si="21"/>
        <v>15</v>
      </c>
      <c r="AB36" s="36" cm="1">
        <f t="array" ref="AB36">_xlfn.XLOOKUP(MIN(IF(S$20:S$148&gt;=Y35,S$20:S$148)),S$20:S$148,R$20:R$148)</f>
        <v>48</v>
      </c>
      <c r="AC36" s="37" cm="1">
        <f t="array" ref="AC36">_xlfn.XLOOKUP(MAX(IF(S$20:S$148&lt;=Y36,S$20:S$148)),S$20:S$148,R$20:R$148)</f>
        <v>55</v>
      </c>
      <c r="AD36" s="2" cm="1">
        <f t="array" ref="AD36">_xlfn.XLOOKUP(MIN(IF(S$20:S$148&gt;=Y36,S$20:S$148)),S$20:S$148,R$20:R$148)</f>
        <v>56</v>
      </c>
      <c r="AE36" s="38" cm="1">
        <f t="array" ref="AE36">_xlfn.XLOOKUP(MAX(IF(S$20:S$148&lt;=Y37,S$20:S$148)),S$20:S$148,R$20:R$148)</f>
        <v>66</v>
      </c>
      <c r="AF36" s="11" cm="1">
        <f t="array" ref="AF36">SUMPRODUCT(IF(S$20:S$148&lt;Y35,0,IF(S$20:S$148&gt;Y36,0,(X36-V$20:V$148)/(X36-X35) *T$20:T$148)))+SUMPRODUCT(IF(S$20:S$148&gt;Y37,0,IF(S$20:S$148&lt;Y36,0,(V$20:V$148-X36)/(X37-X36) *T$20:T$148)))</f>
        <v>36.256842604953057</v>
      </c>
      <c r="AG36" s="33">
        <f t="shared" si="20"/>
        <v>1.5593899812556034</v>
      </c>
      <c r="AJ36" s="2">
        <f t="shared" si="17"/>
        <v>15</v>
      </c>
      <c r="AK36" s="71" cm="1">
        <f t="array" ref="AK36">SUMPRODUCT(AG$21:AG$40*COS(PI()*AJ36*(2*AJ$21:AJ$40+1)/(2*AB$14)))*SQRT(2/AB$14)/IF($AJ36=0,SQRT(2),1)</f>
        <v>1.9980528084849482E-2</v>
      </c>
      <c r="AN36" t="str">
        <f t="shared" si="18"/>
        <v/>
      </c>
    </row>
    <row r="37" spans="2:40" x14ac:dyDescent="0.35">
      <c r="B37" s="2">
        <f t="shared" si="23"/>
        <v>17</v>
      </c>
      <c r="C37" s="5" t="str">
        <f t="shared" si="8"/>
        <v/>
      </c>
      <c r="D37">
        <f t="shared" si="9"/>
        <v>119</v>
      </c>
      <c r="E37" s="5" t="str">
        <f t="shared" si="10"/>
        <v/>
      </c>
      <c r="F37" s="15">
        <f t="shared" si="0"/>
        <v>14161</v>
      </c>
      <c r="G37" s="2">
        <f t="shared" si="1"/>
        <v>17</v>
      </c>
      <c r="H37" s="45">
        <f t="shared" si="2"/>
        <v>4.1511245900506824</v>
      </c>
      <c r="I37" s="45">
        <f t="shared" si="11"/>
        <v>70.569118030861603</v>
      </c>
      <c r="J37" s="46">
        <f t="shared" si="12"/>
        <v>289</v>
      </c>
      <c r="K37" s="2"/>
      <c r="L37" s="2">
        <f t="shared" si="3"/>
        <v>17</v>
      </c>
      <c r="M37" s="18">
        <f t="shared" si="4"/>
        <v>119</v>
      </c>
      <c r="N37" s="20">
        <v>0</v>
      </c>
      <c r="O37" s="18" cm="1">
        <f t="array" ref="O37">SUMPRODUCT(M$20:M$275*COS(2*PI()*L37/L$19*L$20:L$275)+N$20:N$275*SIN(2*PI()*L37/L$19*L$20:L$275))</f>
        <v>1155.4962024406482</v>
      </c>
      <c r="P37" s="20" cm="1">
        <f t="array" ref="P37">SUMPRODUCT(N$20:N$275*COS(2*PI()*L36/L$19*L$20:L$275)+M$20:M$275*SIN(2*PI()*L37/L$19*L$20:L$275))</f>
        <v>2304.0769703204915</v>
      </c>
      <c r="R37" s="2">
        <f t="shared" si="13"/>
        <v>17</v>
      </c>
      <c r="S37" s="54">
        <f t="shared" si="5"/>
        <v>2374.0234375</v>
      </c>
      <c r="T37" s="28">
        <f t="shared" si="14"/>
        <v>10.06868968376105</v>
      </c>
      <c r="V37" s="11">
        <f t="shared" si="15"/>
        <v>1667.5707037291556</v>
      </c>
      <c r="W37" s="56">
        <f t="shared" si="6"/>
        <v>17</v>
      </c>
      <c r="X37" s="33">
        <f t="shared" si="16"/>
        <v>2991.0616650659899</v>
      </c>
      <c r="Y37" s="35">
        <f t="shared" si="22"/>
        <v>9247.7064055720566</v>
      </c>
      <c r="Z37" s="52"/>
      <c r="AA37" s="2">
        <f t="shared" si="21"/>
        <v>16</v>
      </c>
      <c r="AB37" s="36" cm="1">
        <f t="array" ref="AB37">_xlfn.XLOOKUP(MIN(IF(S$20:S$148&gt;=Y36,S$20:S$148)),S$20:S$148,R$20:R$148)</f>
        <v>56</v>
      </c>
      <c r="AC37" s="37" cm="1">
        <f t="array" ref="AC37">_xlfn.XLOOKUP(MAX(IF(S$20:S$148&lt;=Y37,S$20:S$148)),S$20:S$148,R$20:R$148)</f>
        <v>66</v>
      </c>
      <c r="AD37" s="2" cm="1">
        <f t="array" ref="AD37">_xlfn.XLOOKUP(MIN(IF(S$20:S$148&gt;=Y37,S$20:S$148)),S$20:S$148,R$20:R$148)</f>
        <v>67</v>
      </c>
      <c r="AE37" s="38" cm="1">
        <f t="array" ref="AE37">_xlfn.XLOOKUP(MAX(IF(S$20:S$148&lt;=Y38,S$20:S$148)),S$20:S$148,R$20:R$148)</f>
        <v>78</v>
      </c>
      <c r="AF37" s="11" cm="1">
        <f t="array" ref="AF37">SUMPRODUCT(IF(S$20:S$148&lt;Y36,0,IF(S$20:S$148&gt;Y37,0,(X37-V$20:V$148)/(X37-X36) *T$20:T$148)))+SUMPRODUCT(IF(S$20:S$148&gt;Y38,0,IF(S$20:S$148&lt;Y37,0,(V$20:V$148-X37)/(X38-X37) *T$20:T$148)))</f>
        <v>23.862676744502725</v>
      </c>
      <c r="AG37" s="33">
        <f t="shared" si="20"/>
        <v>1.3777191581174055</v>
      </c>
      <c r="AJ37" s="2">
        <f t="shared" si="17"/>
        <v>16</v>
      </c>
      <c r="AK37" s="71" cm="1">
        <f t="array" ref="AK37">SUMPRODUCT(AG$21:AG$40*COS(PI()*AJ37*(2*AJ$21:AJ$40+1)/(2*AB$14)))*SQRT(2/AB$14)/IF($AJ37=0,SQRT(2),1)</f>
        <v>-6.7141345954394582E-2</v>
      </c>
      <c r="AN37" t="str">
        <f t="shared" si="18"/>
        <v/>
      </c>
    </row>
    <row r="38" spans="2:40" x14ac:dyDescent="0.35">
      <c r="B38" s="2">
        <f t="shared" si="23"/>
        <v>18</v>
      </c>
      <c r="C38" s="5" t="str">
        <f t="shared" si="8"/>
        <v/>
      </c>
      <c r="D38">
        <f t="shared" si="9"/>
        <v>99</v>
      </c>
      <c r="E38" s="5" t="str">
        <f t="shared" si="10"/>
        <v/>
      </c>
      <c r="F38" s="15">
        <f t="shared" si="0"/>
        <v>9801</v>
      </c>
      <c r="G38" s="2">
        <f t="shared" si="1"/>
        <v>18</v>
      </c>
      <c r="H38" s="45">
        <f t="shared" si="2"/>
        <v>3.9913146981766108</v>
      </c>
      <c r="I38" s="45">
        <f t="shared" si="11"/>
        <v>71.84366456717899</v>
      </c>
      <c r="J38" s="46">
        <f t="shared" si="12"/>
        <v>324</v>
      </c>
      <c r="K38" s="2"/>
      <c r="L38" s="2">
        <f t="shared" si="3"/>
        <v>18</v>
      </c>
      <c r="M38" s="18">
        <f t="shared" si="4"/>
        <v>99</v>
      </c>
      <c r="N38" s="20">
        <v>0</v>
      </c>
      <c r="O38" s="18" cm="1">
        <f t="array" ref="O38">SUMPRODUCT(M$20:M$275*COS(2*PI()*L38/L$19*L$20:L$275)+N$20:N$275*SIN(2*PI()*L38/L$19*L$20:L$275))</f>
        <v>225.45716517104151</v>
      </c>
      <c r="P38" s="20" cm="1">
        <f t="array" ref="P38">SUMPRODUCT(N$20:N$275*COS(2*PI()*L37/L$19*L$20:L$275)+M$20:M$275*SIN(2*PI()*L38/L$19*L$20:L$275))</f>
        <v>1207.7274746400255</v>
      </c>
      <c r="R38" s="2">
        <f t="shared" si="13"/>
        <v>18</v>
      </c>
      <c r="S38" s="54">
        <f t="shared" si="5"/>
        <v>2513.671875</v>
      </c>
      <c r="T38" s="28">
        <f t="shared" si="14"/>
        <v>4.7991847718116558</v>
      </c>
      <c r="V38" s="11">
        <f t="shared" si="15"/>
        <v>1717.6395616883285</v>
      </c>
      <c r="W38" s="56">
        <f t="shared" si="6"/>
        <v>18</v>
      </c>
      <c r="X38" s="33">
        <f t="shared" si="16"/>
        <v>3167.0064688934012</v>
      </c>
      <c r="Y38" s="35">
        <f t="shared" si="22"/>
        <v>10928.519485539928</v>
      </c>
      <c r="Z38" s="52"/>
      <c r="AA38" s="2">
        <f t="shared" si="21"/>
        <v>17</v>
      </c>
      <c r="AB38" s="36" cm="1">
        <f t="array" ref="AB38">_xlfn.XLOOKUP(MIN(IF(S$20:S$148&gt;=Y37,S$20:S$148)),S$20:S$148,R$20:R$148)</f>
        <v>67</v>
      </c>
      <c r="AC38" s="37" cm="1">
        <f t="array" ref="AC38">_xlfn.XLOOKUP(MAX(IF(S$20:S$148&lt;=Y38,S$20:S$148)),S$20:S$148,R$20:R$148)</f>
        <v>78</v>
      </c>
      <c r="AD38" s="2" cm="1">
        <f t="array" ref="AD38">_xlfn.XLOOKUP(MIN(IF(S$20:S$148&gt;=Y38,S$20:S$148)),S$20:S$148,R$20:R$148)</f>
        <v>79</v>
      </c>
      <c r="AE38" s="38" cm="1">
        <f t="array" ref="AE38">_xlfn.XLOOKUP(MAX(IF(S$20:S$148&lt;=Y39,S$20:S$148)),S$20:S$148,R$20:R$148)</f>
        <v>92</v>
      </c>
      <c r="AF38" s="11" cm="1">
        <f t="array" ref="AF38">SUMPRODUCT(IF(S$20:S$148&lt;Y37,0,IF(S$20:S$148&gt;Y38,0,(X38-V$20:V$148)/(X38-X37) *T$20:T$148)))+SUMPRODUCT(IF(S$20:S$148&gt;Y39,0,IF(S$20:S$148&lt;Y38,0,(V$20:V$148-X38)/(X39-X38) *T$20:T$148)))</f>
        <v>16.674157622527765</v>
      </c>
      <c r="AG38" s="33">
        <f t="shared" si="20"/>
        <v>1.2220439026108463</v>
      </c>
      <c r="AJ38" s="2">
        <f t="shared" si="17"/>
        <v>17</v>
      </c>
      <c r="AK38" s="71" cm="1">
        <f t="array" ref="AK38">SUMPRODUCT(AG$21:AG$40*COS(PI()*AJ38*(2*AJ$21:AJ$40+1)/(2*AB$14)))*SQRT(2/AB$14)/IF($AJ38=0,SQRT(2),1)</f>
        <v>-0.13387657115957005</v>
      </c>
      <c r="AN38" t="str">
        <f t="shared" si="18"/>
        <v/>
      </c>
    </row>
    <row r="39" spans="2:40" x14ac:dyDescent="0.35">
      <c r="B39" s="2">
        <f t="shared" si="23"/>
        <v>19</v>
      </c>
      <c r="C39" s="5" t="str">
        <f t="shared" si="8"/>
        <v/>
      </c>
      <c r="D39">
        <f t="shared" si="9"/>
        <v>123</v>
      </c>
      <c r="E39" s="5" t="str">
        <f t="shared" si="10"/>
        <v/>
      </c>
      <c r="F39" s="15">
        <f t="shared" si="0"/>
        <v>15129</v>
      </c>
      <c r="G39" s="2">
        <f t="shared" si="1"/>
        <v>19</v>
      </c>
      <c r="H39" s="45">
        <f t="shared" si="2"/>
        <v>4.1798389280231865</v>
      </c>
      <c r="I39" s="45">
        <f t="shared" si="11"/>
        <v>79.416939632440545</v>
      </c>
      <c r="J39" s="46">
        <f t="shared" si="12"/>
        <v>361</v>
      </c>
      <c r="K39" s="2"/>
      <c r="L39" s="2">
        <f t="shared" si="3"/>
        <v>19</v>
      </c>
      <c r="M39" s="18">
        <f t="shared" si="4"/>
        <v>123</v>
      </c>
      <c r="N39" s="20">
        <v>0</v>
      </c>
      <c r="O39" s="18" cm="1">
        <f t="array" ref="O39">SUMPRODUCT(M$20:M$275*COS(2*PI()*L39/L$19*L$20:L$275)+N$20:N$275*SIN(2*PI()*L39/L$19*L$20:L$275))</f>
        <v>30.17631749739445</v>
      </c>
      <c r="P39" s="20" cm="1">
        <f t="array" ref="P39">SUMPRODUCT(N$20:N$275*COS(2*PI()*L38/L$19*L$20:L$275)+M$20:M$275*SIN(2*PI()*L39/L$19*L$20:L$275))</f>
        <v>3901.5694972311062</v>
      </c>
      <c r="R39" s="2">
        <f t="shared" si="13"/>
        <v>19</v>
      </c>
      <c r="S39" s="54">
        <f t="shared" si="5"/>
        <v>2653.3203125</v>
      </c>
      <c r="T39" s="28">
        <f t="shared" si="14"/>
        <v>15.240961693015658</v>
      </c>
      <c r="V39" s="11">
        <f t="shared" si="15"/>
        <v>1765.5783140605165</v>
      </c>
      <c r="W39" s="56">
        <f t="shared" si="6"/>
        <v>19</v>
      </c>
      <c r="X39" s="33">
        <f t="shared" si="16"/>
        <v>3342.9512727208125</v>
      </c>
      <c r="Y39" s="35">
        <f t="shared" si="22"/>
        <v>12893.330956152771</v>
      </c>
      <c r="Z39" s="52"/>
      <c r="AA39" s="2">
        <f t="shared" si="21"/>
        <v>18</v>
      </c>
      <c r="AB39" s="36" cm="1">
        <f t="array" ref="AB39">_xlfn.XLOOKUP(MIN(IF(S$20:S$148&gt;=Y38,S$20:S$148)),S$20:S$148,R$20:R$148)</f>
        <v>79</v>
      </c>
      <c r="AC39" s="37" cm="1">
        <f t="array" ref="AC39">_xlfn.XLOOKUP(MAX(IF(S$20:S$148&lt;=Y39,S$20:S$148)),S$20:S$148,R$20:R$148)</f>
        <v>92</v>
      </c>
      <c r="AD39" s="2" cm="1">
        <f t="array" ref="AD39">_xlfn.XLOOKUP(MIN(IF(S$20:S$148&gt;=Y39,S$20:S$148)),S$20:S$148,R$20:R$148)</f>
        <v>93</v>
      </c>
      <c r="AE39" s="38" cm="1">
        <f t="array" ref="AE39">_xlfn.XLOOKUP(MAX(IF(S$20:S$148&lt;=Y40,S$20:S$148)),S$20:S$148,R$20:R$148)</f>
        <v>108</v>
      </c>
      <c r="AF39" s="11" cm="1">
        <f t="array" ref="AF39">SUMPRODUCT(IF(S$20:S$148&lt;Y38,0,IF(S$20:S$148&gt;Y39,0,(X39-V$20:V$148)/(X39-X38) *T$20:T$148)))+SUMPRODUCT(IF(S$20:S$148&gt;Y40,0,IF(S$20:S$148&lt;Y39,0,(V$20:V$148-X39)/(X40-X39) *T$20:T$148)))</f>
        <v>13.66638043749041</v>
      </c>
      <c r="AG39" s="33">
        <f t="shared" si="20"/>
        <v>1.1356535062156667</v>
      </c>
      <c r="AJ39" s="2">
        <f t="shared" si="17"/>
        <v>18</v>
      </c>
      <c r="AK39" s="71" cm="1">
        <f t="array" ref="AK39">SUMPRODUCT(AG$21:AG$40*COS(PI()*AJ39*(2*AJ$21:AJ$40+1)/(2*AB$14)))*SQRT(2/AB$14)/IF($AJ39=0,SQRT(2),1)</f>
        <v>-5.242752692928853E-2</v>
      </c>
      <c r="AN39" t="str">
        <f t="shared" si="18"/>
        <v/>
      </c>
    </row>
    <row r="40" spans="2:40" x14ac:dyDescent="0.35">
      <c r="B40" s="2">
        <f t="shared" si="23"/>
        <v>20</v>
      </c>
      <c r="C40" s="5" t="str">
        <f t="shared" si="8"/>
        <v/>
      </c>
      <c r="D40">
        <f t="shared" si="9"/>
        <v>226</v>
      </c>
      <c r="E40" s="5" t="str">
        <f t="shared" si="10"/>
        <v/>
      </c>
      <c r="F40" s="15">
        <f t="shared" si="0"/>
        <v>51076</v>
      </c>
      <c r="G40" s="2">
        <f t="shared" si="1"/>
        <v>20</v>
      </c>
      <c r="H40" s="45">
        <f t="shared" si="2"/>
        <v>4.708225381118643</v>
      </c>
      <c r="I40" s="45">
        <f t="shared" si="11"/>
        <v>94.164507622372867</v>
      </c>
      <c r="J40" s="46">
        <f t="shared" si="12"/>
        <v>400</v>
      </c>
      <c r="K40" s="2"/>
      <c r="L40" s="2">
        <f t="shared" si="3"/>
        <v>20</v>
      </c>
      <c r="M40" s="18">
        <f t="shared" si="4"/>
        <v>226</v>
      </c>
      <c r="N40" s="20">
        <v>0</v>
      </c>
      <c r="O40" s="18" cm="1">
        <f t="array" ref="O40">SUMPRODUCT(M$20:M$275*COS(2*PI()*L40/L$19*L$20:L$275)+N$20:N$275*SIN(2*PI()*L40/L$19*L$20:L$275))</f>
        <v>-3913.7471013900717</v>
      </c>
      <c r="P40" s="20" cm="1">
        <f t="array" ref="P40">SUMPRODUCT(N$20:N$275*COS(2*PI()*L39/L$19*L$20:L$275)+M$20:M$275*SIN(2*PI()*L40/L$19*L$20:L$275))</f>
        <v>-226.84536708631703</v>
      </c>
      <c r="R40" s="2">
        <f t="shared" si="13"/>
        <v>20</v>
      </c>
      <c r="S40" s="54">
        <f t="shared" si="5"/>
        <v>2792.96875</v>
      </c>
      <c r="T40" s="28">
        <f t="shared" si="14"/>
        <v>15.313733206383878</v>
      </c>
      <c r="V40" s="11">
        <f t="shared" si="15"/>
        <v>1811.5608332343277</v>
      </c>
      <c r="W40" s="56">
        <f t="shared" si="6"/>
        <v>20</v>
      </c>
      <c r="X40" s="33">
        <f t="shared" si="16"/>
        <v>3518.8960765482238</v>
      </c>
      <c r="Y40" s="35">
        <f t="shared" ref="Y40" si="24">700*(10^(X40/2595)-1)</f>
        <v>15190.126573144031</v>
      </c>
      <c r="Z40" s="52"/>
      <c r="AA40" s="2">
        <f t="shared" si="21"/>
        <v>19</v>
      </c>
      <c r="AB40" s="36" cm="1">
        <f t="array" ref="AB40">_xlfn.XLOOKUP(MIN(IF(S$20:S$148&gt;=Y39,S$20:S$148)),S$20:S$148,R$20:R$148)</f>
        <v>93</v>
      </c>
      <c r="AC40" s="37" cm="1">
        <f t="array" ref="AC40">_xlfn.XLOOKUP(MAX(IF(S$20:S$148&lt;=Y40,S$20:S$148)),S$20:S$148,R$20:R$148)</f>
        <v>108</v>
      </c>
      <c r="AD40" s="2" cm="1">
        <f t="array" ref="AD40">_xlfn.XLOOKUP(MIN(IF(S$20:S$148&gt;=Y40,S$20:S$148)),S$20:S$148,R$20:R$148)</f>
        <v>109</v>
      </c>
      <c r="AE40" s="38" cm="1">
        <f t="array" ref="AE40">_xlfn.XLOOKUP(MAX(IF(S$20:S$148&lt;=Y41,S$20:S$148)),S$20:S$148,R$20:R$148)</f>
        <v>128</v>
      </c>
      <c r="AF40" s="11" cm="1">
        <f t="array" ref="AF40">SUMPRODUCT(IF(S$20:S$148&lt;Y39,0,IF(S$20:S$148&gt;Y40,0,(X40-V$20:V$148)/(X40-X39) *T$20:T$148)))+SUMPRODUCT(IF(S$20:S$148&gt;Y41,0,IF(S$20:S$148&lt;Y40,0,(V$20:V$148-X40)/(X41-X40) *T$20:T$148)))</f>
        <v>13.886951346394277</v>
      </c>
      <c r="AG40" s="33">
        <f t="shared" si="20"/>
        <v>1.1426069139334154</v>
      </c>
      <c r="AJ40" s="2">
        <f t="shared" si="17"/>
        <v>19</v>
      </c>
      <c r="AK40" s="71" cm="1">
        <f t="array" ref="AK40">SUMPRODUCT(AG$21:AG$40*COS(PI()*AJ40*(2*AJ$21:AJ$40+1)/(2*AB$14)))*SQRT(2/AB$14)/IF($AJ40=0,SQRT(2),1)</f>
        <v>1.1931773411304018E-2</v>
      </c>
      <c r="AN40" t="str">
        <f t="shared" si="18"/>
        <v/>
      </c>
    </row>
    <row r="41" spans="2:40" x14ac:dyDescent="0.35">
      <c r="B41" s="2">
        <f t="shared" si="23"/>
        <v>21</v>
      </c>
      <c r="C41" s="5" t="str">
        <f t="shared" si="8"/>
        <v/>
      </c>
      <c r="D41">
        <f t="shared" si="9"/>
        <v>321</v>
      </c>
      <c r="E41" s="5" t="str">
        <f t="shared" si="10"/>
        <v/>
      </c>
      <c r="F41" s="15">
        <f t="shared" si="0"/>
        <v>103041</v>
      </c>
      <c r="G41" s="2">
        <f t="shared" si="1"/>
        <v>21</v>
      </c>
      <c r="H41" s="45">
        <f t="shared" si="2"/>
        <v>5.0130142795628476</v>
      </c>
      <c r="I41" s="45">
        <f t="shared" si="11"/>
        <v>105.2732998708198</v>
      </c>
      <c r="J41" s="46">
        <f t="shared" si="12"/>
        <v>441</v>
      </c>
      <c r="K41" s="2"/>
      <c r="L41" s="2">
        <f t="shared" si="3"/>
        <v>21</v>
      </c>
      <c r="M41" s="18">
        <f t="shared" si="4"/>
        <v>321</v>
      </c>
      <c r="N41" s="20">
        <v>0</v>
      </c>
      <c r="O41" s="18" cm="1">
        <f t="array" ref="O41">SUMPRODUCT(M$20:M$275*COS(2*PI()*L41/L$19*L$20:L$275)+N$20:N$275*SIN(2*PI()*L41/L$19*L$20:L$275))</f>
        <v>428.24509221842897</v>
      </c>
      <c r="P41" s="20" cm="1">
        <f t="array" ref="P41">SUMPRODUCT(N$20:N$275*COS(2*PI()*L40/L$19*L$20:L$275)+M$20:M$275*SIN(2*PI()*L41/L$19*L$20:L$275))</f>
        <v>-3699.1192595928774</v>
      </c>
      <c r="R41" s="2">
        <f t="shared" si="13"/>
        <v>21</v>
      </c>
      <c r="S41" s="54">
        <f t="shared" si="5"/>
        <v>2932.6171875</v>
      </c>
      <c r="T41" s="28">
        <f t="shared" si="14"/>
        <v>14.546193779625934</v>
      </c>
      <c r="V41" s="11">
        <f t="shared" si="15"/>
        <v>1855.7405349623896</v>
      </c>
      <c r="W41" s="59">
        <f t="shared" si="6"/>
        <v>21</v>
      </c>
      <c r="X41" s="32">
        <f t="shared" si="16"/>
        <v>3694.8408803756352</v>
      </c>
      <c r="Y41" s="34">
        <f t="shared" ref="Y41" si="25">700*(10^(X41/2595)-1)</f>
        <v>17875.000000000025</v>
      </c>
      <c r="Z41" s="53"/>
    </row>
    <row r="42" spans="2:40" x14ac:dyDescent="0.35">
      <c r="B42" s="2">
        <f t="shared" si="23"/>
        <v>22</v>
      </c>
      <c r="C42" s="5" t="str">
        <f t="shared" si="8"/>
        <v/>
      </c>
      <c r="D42">
        <f t="shared" si="9"/>
        <v>278</v>
      </c>
      <c r="E42" s="5" t="str">
        <f t="shared" si="10"/>
        <v/>
      </c>
      <c r="F42" s="15">
        <f t="shared" si="0"/>
        <v>77284</v>
      </c>
      <c r="G42" s="2">
        <f t="shared" si="1"/>
        <v>22</v>
      </c>
      <c r="H42" s="45">
        <f t="shared" si="2"/>
        <v>4.8880952112615468</v>
      </c>
      <c r="I42" s="45">
        <f t="shared" si="11"/>
        <v>107.53809464775404</v>
      </c>
      <c r="J42" s="46">
        <f t="shared" si="12"/>
        <v>484</v>
      </c>
      <c r="K42" s="2"/>
      <c r="L42" s="2">
        <f t="shared" si="3"/>
        <v>22</v>
      </c>
      <c r="M42" s="18">
        <f t="shared" si="4"/>
        <v>278</v>
      </c>
      <c r="N42" s="20">
        <v>0</v>
      </c>
      <c r="O42" s="18" cm="1">
        <f t="array" ref="O42">SUMPRODUCT(M$20:M$275*COS(2*PI()*L42/L$19*L$20:L$275)+N$20:N$275*SIN(2*PI()*L42/L$19*L$20:L$275))</f>
        <v>131.85393075974343</v>
      </c>
      <c r="P42" s="20" cm="1">
        <f t="array" ref="P42">SUMPRODUCT(N$20:N$275*COS(2*PI()*L41/L$19*L$20:L$275)+M$20:M$275*SIN(2*PI()*L42/L$19*L$20:L$275))</f>
        <v>-118.23398882841605</v>
      </c>
      <c r="R42" s="2">
        <f t="shared" si="13"/>
        <v>22</v>
      </c>
      <c r="S42" s="54">
        <f t="shared" si="5"/>
        <v>3072.265625</v>
      </c>
      <c r="T42" s="28">
        <f t="shared" si="14"/>
        <v>0.69180046109884985</v>
      </c>
      <c r="V42" s="11">
        <f t="shared" si="15"/>
        <v>1898.2534666754452</v>
      </c>
    </row>
    <row r="43" spans="2:40" x14ac:dyDescent="0.35">
      <c r="B43" s="2">
        <f t="shared" si="23"/>
        <v>23</v>
      </c>
      <c r="C43" s="5" t="str">
        <f t="shared" si="8"/>
        <v/>
      </c>
      <c r="D43">
        <f t="shared" si="9"/>
        <v>77</v>
      </c>
      <c r="E43" s="5" t="str">
        <f t="shared" si="10"/>
        <v/>
      </c>
      <c r="F43" s="15">
        <f t="shared" si="0"/>
        <v>5929</v>
      </c>
      <c r="G43" s="2">
        <f t="shared" si="1"/>
        <v>23</v>
      </c>
      <c r="H43" s="45">
        <f t="shared" si="2"/>
        <v>3.7730546933642626</v>
      </c>
      <c r="I43" s="45">
        <f t="shared" si="11"/>
        <v>86.780257947378033</v>
      </c>
      <c r="J43" s="46">
        <f t="shared" si="12"/>
        <v>529</v>
      </c>
      <c r="K43" s="2"/>
      <c r="L43" s="2">
        <f t="shared" si="3"/>
        <v>23</v>
      </c>
      <c r="M43" s="18">
        <f t="shared" si="4"/>
        <v>77</v>
      </c>
      <c r="N43" s="20">
        <v>0</v>
      </c>
      <c r="O43" s="18" cm="1">
        <f t="array" ref="O43">SUMPRODUCT(M$20:M$275*COS(2*PI()*L43/L$19*L$20:L$275)+N$20:N$275*SIN(2*PI()*L43/L$19*L$20:L$275))</f>
        <v>751.60068683318786</v>
      </c>
      <c r="P43" s="20" cm="1">
        <f t="array" ref="P43">SUMPRODUCT(N$20:N$275*COS(2*PI()*L42/L$19*L$20:L$275)+M$20:M$275*SIN(2*PI()*L43/L$19*L$20:L$275))</f>
        <v>1650.1284071522596</v>
      </c>
      <c r="R43" s="2">
        <f t="shared" si="13"/>
        <v>23</v>
      </c>
      <c r="S43" s="54">
        <f t="shared" si="5"/>
        <v>3211.9140625</v>
      </c>
      <c r="T43" s="28">
        <f t="shared" si="14"/>
        <v>7.0829558834084247</v>
      </c>
      <c r="V43" s="11">
        <f t="shared" si="15"/>
        <v>1939.2208341319197</v>
      </c>
    </row>
    <row r="44" spans="2:40" x14ac:dyDescent="0.35">
      <c r="B44" s="2">
        <f t="shared" si="23"/>
        <v>24</v>
      </c>
      <c r="C44" s="5" t="str">
        <f t="shared" si="8"/>
        <v/>
      </c>
      <c r="D44">
        <f t="shared" si="9"/>
        <v>-123</v>
      </c>
      <c r="E44" s="5">
        <f t="shared" si="10"/>
        <v>1</v>
      </c>
      <c r="F44" s="15">
        <f t="shared" si="0"/>
        <v>15129</v>
      </c>
      <c r="G44" s="2">
        <f t="shared" si="1"/>
        <v>24</v>
      </c>
      <c r="H44" s="45">
        <f t="shared" si="2"/>
        <v>4.1798389280231865</v>
      </c>
      <c r="I44" s="45">
        <f t="shared" si="11"/>
        <v>100.31613427255647</v>
      </c>
      <c r="J44" s="46">
        <f t="shared" si="12"/>
        <v>576</v>
      </c>
      <c r="K44" s="2"/>
      <c r="L44" s="2">
        <f t="shared" si="3"/>
        <v>24</v>
      </c>
      <c r="M44" s="18">
        <f t="shared" si="4"/>
        <v>-123</v>
      </c>
      <c r="N44" s="20">
        <v>0</v>
      </c>
      <c r="O44" s="18" cm="1">
        <f t="array" ref="O44">SUMPRODUCT(M$20:M$275*COS(2*PI()*L44/L$19*L$20:L$275)+N$20:N$275*SIN(2*PI()*L44/L$19*L$20:L$275))</f>
        <v>803.77648051054484</v>
      </c>
      <c r="P44" s="20" cm="1">
        <f t="array" ref="P44">SUMPRODUCT(N$20:N$275*COS(2*PI()*L43/L$19*L$20:L$275)+M$20:M$275*SIN(2*PI()*L44/L$19*L$20:L$275))</f>
        <v>-320.54095598469604</v>
      </c>
      <c r="R44" s="2">
        <f t="shared" si="13"/>
        <v>24</v>
      </c>
      <c r="S44" s="54">
        <f t="shared" si="5"/>
        <v>3351.5625</v>
      </c>
      <c r="T44" s="28">
        <f t="shared" si="14"/>
        <v>3.3802113968816143</v>
      </c>
      <c r="V44" s="11">
        <f t="shared" si="15"/>
        <v>1978.7510846912835</v>
      </c>
    </row>
    <row r="45" spans="2:40" x14ac:dyDescent="0.35">
      <c r="B45" s="2">
        <f t="shared" si="23"/>
        <v>25</v>
      </c>
      <c r="C45" s="5" t="str">
        <f t="shared" si="8"/>
        <v/>
      </c>
      <c r="D45">
        <f t="shared" si="9"/>
        <v>-154</v>
      </c>
      <c r="E45" s="5" t="str">
        <f t="shared" si="10"/>
        <v/>
      </c>
      <c r="F45" s="15">
        <f t="shared" si="0"/>
        <v>23716</v>
      </c>
      <c r="G45" s="2">
        <f t="shared" si="1"/>
        <v>25</v>
      </c>
      <c r="H45" s="45">
        <f t="shared" si="2"/>
        <v>4.3750597535858127</v>
      </c>
      <c r="I45" s="45">
        <f t="shared" si="11"/>
        <v>109.37649383964532</v>
      </c>
      <c r="J45" s="46">
        <f t="shared" si="12"/>
        <v>625</v>
      </c>
      <c r="K45" s="2"/>
      <c r="L45" s="2">
        <f t="shared" si="3"/>
        <v>25</v>
      </c>
      <c r="M45" s="18">
        <f t="shared" si="4"/>
        <v>-154</v>
      </c>
      <c r="N45" s="20">
        <v>0</v>
      </c>
      <c r="O45" s="18" cm="1">
        <f t="array" ref="O45">SUMPRODUCT(M$20:M$275*COS(2*PI()*L45/L$19*L$20:L$275)+N$20:N$275*SIN(2*PI()*L45/L$19*L$20:L$275))</f>
        <v>-23.704928490081006</v>
      </c>
      <c r="P45" s="20" cm="1">
        <f t="array" ref="P45">SUMPRODUCT(N$20:N$275*COS(2*PI()*L44/L$19*L$20:L$275)+M$20:M$275*SIN(2*PI()*L45/L$19*L$20:L$275))</f>
        <v>-948.4622807819635</v>
      </c>
      <c r="R45" s="2">
        <f t="shared" si="13"/>
        <v>25</v>
      </c>
      <c r="S45" s="54">
        <f t="shared" si="5"/>
        <v>3491.2109375</v>
      </c>
      <c r="T45" s="28">
        <f t="shared" si="14"/>
        <v>3.7060877473015821</v>
      </c>
      <c r="V45" s="11">
        <f t="shared" si="15"/>
        <v>2016.9416374185435</v>
      </c>
    </row>
    <row r="46" spans="2:40" x14ac:dyDescent="0.35">
      <c r="B46" s="2">
        <f t="shared" si="23"/>
        <v>26</v>
      </c>
      <c r="C46" s="5" t="str">
        <f t="shared" si="8"/>
        <v/>
      </c>
      <c r="D46">
        <f t="shared" si="9"/>
        <v>-60</v>
      </c>
      <c r="E46" s="5" t="str">
        <f t="shared" si="10"/>
        <v/>
      </c>
      <c r="F46" s="15">
        <f t="shared" si="0"/>
        <v>3600</v>
      </c>
      <c r="G46" s="2">
        <f t="shared" si="1"/>
        <v>26</v>
      </c>
      <c r="H46" s="45">
        <f t="shared" si="2"/>
        <v>3.5564231213712851</v>
      </c>
      <c r="I46" s="45">
        <f t="shared" si="11"/>
        <v>92.467001155653406</v>
      </c>
      <c r="J46" s="46">
        <f t="shared" si="12"/>
        <v>676</v>
      </c>
      <c r="K46" s="2"/>
      <c r="L46" s="2">
        <f t="shared" si="3"/>
        <v>26</v>
      </c>
      <c r="M46" s="18">
        <f t="shared" si="4"/>
        <v>-60</v>
      </c>
      <c r="N46" s="20">
        <v>0</v>
      </c>
      <c r="O46" s="18" cm="1">
        <f t="array" ref="O46">SUMPRODUCT(M$20:M$275*COS(2*PI()*L46/L$19*L$20:L$275)+N$20:N$275*SIN(2*PI()*L46/L$19*L$20:L$275))</f>
        <v>2544.8054564497188</v>
      </c>
      <c r="P46" s="20" cm="1">
        <f t="array" ref="P46">SUMPRODUCT(N$20:N$275*COS(2*PI()*L45/L$19*L$20:L$275)+M$20:M$275*SIN(2*PI()*L46/L$19*L$20:L$275))</f>
        <v>-1659.7325170338645</v>
      </c>
      <c r="R46" s="2">
        <f t="shared" si="13"/>
        <v>26</v>
      </c>
      <c r="S46" s="54">
        <f t="shared" si="5"/>
        <v>3630.859375</v>
      </c>
      <c r="T46" s="28">
        <f t="shared" si="14"/>
        <v>11.868025063583598</v>
      </c>
      <c r="V46" s="11">
        <f t="shared" si="15"/>
        <v>2053.8803295155699</v>
      </c>
    </row>
    <row r="47" spans="2:40" x14ac:dyDescent="0.35">
      <c r="B47" s="2">
        <f t="shared" si="23"/>
        <v>27</v>
      </c>
      <c r="C47" s="5" t="str">
        <f t="shared" si="8"/>
        <v/>
      </c>
      <c r="D47">
        <f t="shared" si="9"/>
        <v>-27</v>
      </c>
      <c r="E47" s="5" t="str">
        <f t="shared" si="10"/>
        <v/>
      </c>
      <c r="F47" s="15">
        <f t="shared" si="0"/>
        <v>729</v>
      </c>
      <c r="G47" s="2">
        <f t="shared" si="1"/>
        <v>27</v>
      </c>
      <c r="H47" s="45">
        <f t="shared" si="2"/>
        <v>2.8633228601204559</v>
      </c>
      <c r="I47" s="45">
        <f t="shared" si="11"/>
        <v>77.309717223252306</v>
      </c>
      <c r="J47" s="46">
        <f t="shared" si="12"/>
        <v>729</v>
      </c>
      <c r="K47" s="2"/>
      <c r="L47" s="2">
        <f t="shared" si="3"/>
        <v>27</v>
      </c>
      <c r="M47" s="18">
        <f t="shared" si="4"/>
        <v>-27</v>
      </c>
      <c r="N47" s="20">
        <v>0</v>
      </c>
      <c r="O47" s="18" cm="1">
        <f t="array" ref="O47">SUMPRODUCT(M$20:M$275*COS(2*PI()*L47/L$19*L$20:L$275)+N$20:N$275*SIN(2*PI()*L47/L$19*L$20:L$275))</f>
        <v>1110.7546261677201</v>
      </c>
      <c r="P47" s="20" cm="1">
        <f t="array" ref="P47">SUMPRODUCT(N$20:N$275*COS(2*PI()*L46/L$19*L$20:L$275)+M$20:M$275*SIN(2*PI()*L47/L$19*L$20:L$275))</f>
        <v>1024.8938926579499</v>
      </c>
      <c r="R47" s="2">
        <f t="shared" si="13"/>
        <v>27</v>
      </c>
      <c r="S47" s="54">
        <f t="shared" si="5"/>
        <v>3770.5078125</v>
      </c>
      <c r="T47" s="28">
        <f t="shared" si="14"/>
        <v>5.9037167635443017</v>
      </c>
      <c r="V47" s="11">
        <f t="shared" si="15"/>
        <v>2089.6466331258857</v>
      </c>
    </row>
    <row r="48" spans="2:40" x14ac:dyDescent="0.35">
      <c r="B48" s="2">
        <f t="shared" si="23"/>
        <v>28</v>
      </c>
      <c r="C48" s="5" t="str">
        <f t="shared" si="8"/>
        <v/>
      </c>
      <c r="D48">
        <f t="shared" si="9"/>
        <v>-67</v>
      </c>
      <c r="E48" s="5" t="str">
        <f t="shared" si="10"/>
        <v/>
      </c>
      <c r="F48" s="15">
        <f t="shared" si="0"/>
        <v>4489</v>
      </c>
      <c r="G48" s="2">
        <f t="shared" si="1"/>
        <v>28</v>
      </c>
      <c r="H48" s="45">
        <f t="shared" si="2"/>
        <v>3.6522463410033232</v>
      </c>
      <c r="I48" s="45">
        <f t="shared" si="11"/>
        <v>102.26289754809305</v>
      </c>
      <c r="J48" s="46">
        <f t="shared" si="12"/>
        <v>784</v>
      </c>
      <c r="K48" s="2"/>
      <c r="L48" s="2">
        <f t="shared" si="3"/>
        <v>28</v>
      </c>
      <c r="M48" s="18">
        <f t="shared" si="4"/>
        <v>-67</v>
      </c>
      <c r="N48" s="20">
        <v>0</v>
      </c>
      <c r="O48" s="18" cm="1">
        <f t="array" ref="O48">SUMPRODUCT(M$20:M$275*COS(2*PI()*L48/L$19*L$20:L$275)+N$20:N$275*SIN(2*PI()*L48/L$19*L$20:L$275))</f>
        <v>79.150900039010608</v>
      </c>
      <c r="P48" s="20" cm="1">
        <f t="array" ref="P48">SUMPRODUCT(N$20:N$275*COS(2*PI()*L47/L$19*L$20:L$275)+M$20:M$275*SIN(2*PI()*L48/L$19*L$20:L$275))</f>
        <v>1431.2383268800484</v>
      </c>
      <c r="R48" s="2">
        <f t="shared" si="13"/>
        <v>28</v>
      </c>
      <c r="S48" s="54">
        <f t="shared" si="5"/>
        <v>3910.15625</v>
      </c>
      <c r="T48" s="28">
        <f t="shared" si="14"/>
        <v>5.599317472700208</v>
      </c>
      <c r="V48" s="11">
        <f t="shared" si="15"/>
        <v>2124.312684914988</v>
      </c>
    </row>
    <row r="49" spans="2:22" x14ac:dyDescent="0.35">
      <c r="B49" s="2">
        <f t="shared" si="23"/>
        <v>29</v>
      </c>
      <c r="C49" s="5" t="str">
        <f t="shared" si="8"/>
        <v/>
      </c>
      <c r="D49">
        <f t="shared" si="9"/>
        <v>-49</v>
      </c>
      <c r="E49" s="5" t="str">
        <f t="shared" si="10"/>
        <v/>
      </c>
      <c r="F49" s="15">
        <f t="shared" si="0"/>
        <v>2401</v>
      </c>
      <c r="G49" s="2">
        <f t="shared" si="1"/>
        <v>29</v>
      </c>
      <c r="H49" s="45">
        <f t="shared" si="2"/>
        <v>3.3805730030668872</v>
      </c>
      <c r="I49" s="45">
        <f t="shared" si="11"/>
        <v>98.036617088939735</v>
      </c>
      <c r="J49" s="46">
        <f t="shared" si="12"/>
        <v>841</v>
      </c>
      <c r="K49" s="2"/>
      <c r="L49" s="2">
        <f t="shared" si="3"/>
        <v>29</v>
      </c>
      <c r="M49" s="18">
        <f t="shared" si="4"/>
        <v>-49</v>
      </c>
      <c r="N49" s="20">
        <v>0</v>
      </c>
      <c r="O49" s="18" cm="1">
        <f t="array" ref="O49">SUMPRODUCT(M$20:M$275*COS(2*PI()*L49/L$19*L$20:L$275)+N$20:N$275*SIN(2*PI()*L49/L$19*L$20:L$275))</f>
        <v>-314.11925237789535</v>
      </c>
      <c r="P49" s="20" cm="1">
        <f t="array" ref="P49">SUMPRODUCT(N$20:N$275*COS(2*PI()*L48/L$19*L$20:L$275)+M$20:M$275*SIN(2*PI()*L49/L$19*L$20:L$275))</f>
        <v>5.0689951663807076</v>
      </c>
      <c r="R49" s="2">
        <f t="shared" si="13"/>
        <v>29</v>
      </c>
      <c r="S49" s="54">
        <f t="shared" si="5"/>
        <v>4049.8046875</v>
      </c>
      <c r="T49" s="28">
        <f t="shared" si="14"/>
        <v>1.2271880833165625</v>
      </c>
      <c r="V49" s="11">
        <f t="shared" si="15"/>
        <v>2157.9441619655486</v>
      </c>
    </row>
    <row r="50" spans="2:22" x14ac:dyDescent="0.35">
      <c r="B50" s="2">
        <f t="shared" si="23"/>
        <v>30</v>
      </c>
      <c r="C50" s="5" t="str">
        <f t="shared" si="8"/>
        <v/>
      </c>
      <c r="D50">
        <f t="shared" si="9"/>
        <v>33</v>
      </c>
      <c r="E50" s="5">
        <f t="shared" si="10"/>
        <v>1</v>
      </c>
      <c r="F50" s="15">
        <f t="shared" si="0"/>
        <v>1089</v>
      </c>
      <c r="G50" s="2">
        <f t="shared" si="1"/>
        <v>30</v>
      </c>
      <c r="H50" s="45">
        <f t="shared" si="2"/>
        <v>3.0374264979406238</v>
      </c>
      <c r="I50" s="45">
        <f t="shared" si="11"/>
        <v>91.122794938218718</v>
      </c>
      <c r="J50" s="46">
        <f t="shared" si="12"/>
        <v>900</v>
      </c>
      <c r="K50" s="2"/>
      <c r="L50" s="2">
        <f t="shared" si="3"/>
        <v>30</v>
      </c>
      <c r="M50" s="18">
        <f t="shared" si="4"/>
        <v>33</v>
      </c>
      <c r="N50" s="20">
        <v>0</v>
      </c>
      <c r="O50" s="18" cm="1">
        <f t="array" ref="O50">SUMPRODUCT(M$20:M$275*COS(2*PI()*L50/L$19*L$20:L$275)+N$20:N$275*SIN(2*PI()*L50/L$19*L$20:L$275))</f>
        <v>-2735.8819995316085</v>
      </c>
      <c r="P50" s="20" cm="1">
        <f t="array" ref="P50">SUMPRODUCT(N$20:N$275*COS(2*PI()*L49/L$19*L$20:L$275)+M$20:M$275*SIN(2*PI()*L50/L$19*L$20:L$275))</f>
        <v>258.1631511641292</v>
      </c>
      <c r="R50" s="2">
        <f t="shared" si="13"/>
        <v>30</v>
      </c>
      <c r="S50" s="54">
        <f t="shared" si="5"/>
        <v>4189.453125</v>
      </c>
      <c r="T50" s="28">
        <f t="shared" si="14"/>
        <v>10.734513258738822</v>
      </c>
      <c r="V50" s="11">
        <f t="shared" si="15"/>
        <v>2190.6010307199804</v>
      </c>
    </row>
    <row r="51" spans="2:22" x14ac:dyDescent="0.35">
      <c r="B51" s="2">
        <f t="shared" si="23"/>
        <v>31</v>
      </c>
      <c r="C51" s="5" t="str">
        <f t="shared" si="8"/>
        <v/>
      </c>
      <c r="D51">
        <f t="shared" si="9"/>
        <v>64</v>
      </c>
      <c r="E51" s="5" t="str">
        <f t="shared" si="10"/>
        <v/>
      </c>
      <c r="F51" s="15">
        <f t="shared" si="0"/>
        <v>4096</v>
      </c>
      <c r="G51" s="2">
        <f t="shared" si="1"/>
        <v>31</v>
      </c>
      <c r="H51" s="45">
        <f t="shared" si="2"/>
        <v>3.6124659639531425</v>
      </c>
      <c r="I51" s="45">
        <f t="shared" si="11"/>
        <v>111.98644488254742</v>
      </c>
      <c r="J51" s="46">
        <f t="shared" si="12"/>
        <v>961</v>
      </c>
      <c r="K51" s="2"/>
      <c r="L51" s="2">
        <f t="shared" si="3"/>
        <v>31</v>
      </c>
      <c r="M51" s="18">
        <f t="shared" si="4"/>
        <v>64</v>
      </c>
      <c r="N51" s="20">
        <v>0</v>
      </c>
      <c r="O51" s="18" cm="1">
        <f t="array" ref="O51">SUMPRODUCT(M$20:M$275*COS(2*PI()*L51/L$19*L$20:L$275)+N$20:N$275*SIN(2*PI()*L51/L$19*L$20:L$275))</f>
        <v>-2777.4163740287418</v>
      </c>
      <c r="P51" s="20" cm="1">
        <f t="array" ref="P51">SUMPRODUCT(N$20:N$275*COS(2*PI()*L50/L$19*L$20:L$275)+M$20:M$275*SIN(2*PI()*L51/L$19*L$20:L$275))</f>
        <v>-3038.7530208183339</v>
      </c>
      <c r="R51" s="2">
        <f t="shared" si="13"/>
        <v>31</v>
      </c>
      <c r="S51" s="54">
        <f t="shared" si="5"/>
        <v>4329.1015625</v>
      </c>
      <c r="T51" s="28">
        <f t="shared" si="14"/>
        <v>16.081259202123181</v>
      </c>
      <c r="V51" s="11">
        <f t="shared" si="15"/>
        <v>2222.3381904304274</v>
      </c>
    </row>
    <row r="52" spans="2:22" x14ac:dyDescent="0.35">
      <c r="B52" s="2">
        <f t="shared" si="23"/>
        <v>32</v>
      </c>
      <c r="C52" s="5" t="str">
        <f t="shared" si="8"/>
        <v/>
      </c>
      <c r="D52">
        <f t="shared" si="9"/>
        <v>-58</v>
      </c>
      <c r="E52" s="5">
        <f t="shared" si="10"/>
        <v>1</v>
      </c>
      <c r="F52" s="15">
        <f t="shared" si="0"/>
        <v>3364</v>
      </c>
      <c r="G52" s="2">
        <f t="shared" si="1"/>
        <v>32</v>
      </c>
      <c r="H52" s="45">
        <f t="shared" si="2"/>
        <v>3.5269850685599957</v>
      </c>
      <c r="I52" s="45">
        <f t="shared" si="11"/>
        <v>112.86352219391986</v>
      </c>
      <c r="J52" s="46">
        <f t="shared" si="12"/>
        <v>1024</v>
      </c>
      <c r="K52" s="2"/>
      <c r="L52" s="2">
        <f t="shared" si="3"/>
        <v>32</v>
      </c>
      <c r="M52" s="18">
        <f t="shared" si="4"/>
        <v>-58</v>
      </c>
      <c r="N52" s="20">
        <v>0</v>
      </c>
      <c r="O52" s="18" cm="1">
        <f t="array" ref="O52">SUMPRODUCT(M$20:M$275*COS(2*PI()*L52/L$19*L$20:L$275)+N$20:N$275*SIN(2*PI()*L52/L$19*L$20:L$275))</f>
        <v>1858.314933988255</v>
      </c>
      <c r="P52" s="20" cm="1">
        <f t="array" ref="P52">SUMPRODUCT(N$20:N$275*COS(2*PI()*L51/L$19*L$20:L$275)+M$20:M$275*SIN(2*PI()*L52/L$19*L$20:L$275))</f>
        <v>-1367.8397538817819</v>
      </c>
      <c r="R52" s="2">
        <f t="shared" si="13"/>
        <v>32</v>
      </c>
      <c r="S52" s="54">
        <f t="shared" ref="S52:S83" si="26">R52*T$14/L$19</f>
        <v>4468.75</v>
      </c>
      <c r="T52" s="28">
        <f t="shared" si="14"/>
        <v>9.0134718932507649</v>
      </c>
      <c r="V52" s="11">
        <f t="shared" si="15"/>
        <v>2253.2060284597374</v>
      </c>
    </row>
    <row r="53" spans="2:22" x14ac:dyDescent="0.35">
      <c r="B53" s="2">
        <f t="shared" si="23"/>
        <v>33</v>
      </c>
      <c r="C53" s="5" t="str">
        <f t="shared" si="8"/>
        <v/>
      </c>
      <c r="D53">
        <f t="shared" si="9"/>
        <v>-240</v>
      </c>
      <c r="E53" s="5" t="str">
        <f t="shared" si="10"/>
        <v/>
      </c>
      <c r="F53" s="15">
        <f t="shared" si="0"/>
        <v>57600</v>
      </c>
      <c r="G53" s="2">
        <f t="shared" si="1"/>
        <v>33</v>
      </c>
      <c r="H53" s="45">
        <f t="shared" si="2"/>
        <v>4.7604300231925185</v>
      </c>
      <c r="I53" s="45">
        <f t="shared" si="11"/>
        <v>157.09419076535312</v>
      </c>
      <c r="J53" s="46">
        <f t="shared" si="12"/>
        <v>1089</v>
      </c>
      <c r="K53" s="2"/>
      <c r="L53" s="2">
        <f t="shared" si="3"/>
        <v>33</v>
      </c>
      <c r="M53" s="18">
        <f t="shared" si="4"/>
        <v>-240</v>
      </c>
      <c r="N53" s="20">
        <v>0</v>
      </c>
      <c r="O53" s="18" cm="1">
        <f t="array" ref="O53">SUMPRODUCT(M$20:M$275*COS(2*PI()*L53/L$19*L$20:L$275)+N$20:N$275*SIN(2*PI()*L53/L$19*L$20:L$275))</f>
        <v>-363.69908379346435</v>
      </c>
      <c r="P53" s="20" cm="1">
        <f t="array" ref="P53">SUMPRODUCT(N$20:N$275*COS(2*PI()*L52/L$19*L$20:L$275)+M$20:M$275*SIN(2*PI()*L53/L$19*L$20:L$275))</f>
        <v>-983.95781979230821</v>
      </c>
      <c r="R53" s="2">
        <f t="shared" si="13"/>
        <v>33</v>
      </c>
      <c r="S53" s="54">
        <f t="shared" si="26"/>
        <v>4608.3984375</v>
      </c>
      <c r="T53" s="28">
        <f t="shared" si="14"/>
        <v>4.0977475090429136</v>
      </c>
      <c r="V53" s="11">
        <f t="shared" si="15"/>
        <v>2283.2509015389032</v>
      </c>
    </row>
    <row r="54" spans="2:22" x14ac:dyDescent="0.35">
      <c r="B54" s="2">
        <f t="shared" si="23"/>
        <v>34</v>
      </c>
      <c r="C54" s="5" t="str">
        <f t="shared" si="8"/>
        <v/>
      </c>
      <c r="D54">
        <f t="shared" si="9"/>
        <v>-304</v>
      </c>
      <c r="E54" s="5" t="str">
        <f t="shared" si="10"/>
        <v/>
      </c>
      <c r="F54" s="15">
        <f t="shared" si="0"/>
        <v>92416</v>
      </c>
      <c r="G54" s="2">
        <f t="shared" si="1"/>
        <v>34</v>
      </c>
      <c r="H54" s="45">
        <f t="shared" si="2"/>
        <v>4.9657518665350739</v>
      </c>
      <c r="I54" s="45">
        <f t="shared" si="11"/>
        <v>168.83556346219251</v>
      </c>
      <c r="J54" s="46">
        <f t="shared" si="12"/>
        <v>1156</v>
      </c>
      <c r="K54" s="2"/>
      <c r="L54" s="2">
        <f t="shared" si="3"/>
        <v>34</v>
      </c>
      <c r="M54" s="18">
        <f t="shared" si="4"/>
        <v>-304</v>
      </c>
      <c r="N54" s="20">
        <v>0</v>
      </c>
      <c r="O54" s="18" cm="1">
        <f t="array" ref="O54">SUMPRODUCT(M$20:M$275*COS(2*PI()*L54/L$19*L$20:L$275)+N$20:N$275*SIN(2*PI()*L54/L$19*L$20:L$275))</f>
        <v>1855.0656183808737</v>
      </c>
      <c r="P54" s="20" cm="1">
        <f t="array" ref="P54">SUMPRODUCT(N$20:N$275*COS(2*PI()*L53/L$19*L$20:L$275)+M$20:M$275*SIN(2*PI()*L54/L$19*L$20:L$275))</f>
        <v>-377.61185231916267</v>
      </c>
      <c r="R54" s="2">
        <f t="shared" si="13"/>
        <v>34</v>
      </c>
      <c r="S54" s="54">
        <f t="shared" si="26"/>
        <v>4748.046875</v>
      </c>
      <c r="T54" s="28">
        <f t="shared" si="14"/>
        <v>7.394954424787394</v>
      </c>
      <c r="V54" s="11">
        <f t="shared" si="15"/>
        <v>2312.5155545213888</v>
      </c>
    </row>
    <row r="55" spans="2:22" x14ac:dyDescent="0.35">
      <c r="B55" s="2">
        <f t="shared" si="23"/>
        <v>35</v>
      </c>
      <c r="C55" s="5" t="str">
        <f t="shared" si="8"/>
        <v/>
      </c>
      <c r="D55">
        <f t="shared" si="9"/>
        <v>-290</v>
      </c>
      <c r="E55" s="5" t="str">
        <f t="shared" si="10"/>
        <v/>
      </c>
      <c r="F55" s="15">
        <f t="shared" si="0"/>
        <v>84100</v>
      </c>
      <c r="G55" s="2">
        <f t="shared" si="1"/>
        <v>35</v>
      </c>
      <c r="H55" s="45">
        <f t="shared" si="2"/>
        <v>4.9248011597919659</v>
      </c>
      <c r="I55" s="45">
        <f t="shared" si="11"/>
        <v>172.36804059271881</v>
      </c>
      <c r="J55" s="46">
        <f t="shared" si="12"/>
        <v>1225</v>
      </c>
      <c r="K55" s="2"/>
      <c r="L55" s="2">
        <f t="shared" si="3"/>
        <v>35</v>
      </c>
      <c r="M55" s="18">
        <f t="shared" si="4"/>
        <v>-290</v>
      </c>
      <c r="N55" s="20">
        <v>0</v>
      </c>
      <c r="O55" s="18" cm="1">
        <f t="array" ref="O55">SUMPRODUCT(M$20:M$275*COS(2*PI()*L55/L$19*L$20:L$275)+N$20:N$275*SIN(2*PI()*L55/L$19*L$20:L$275))</f>
        <v>744.07445192835871</v>
      </c>
      <c r="P55" s="20" cm="1">
        <f t="array" ref="P55">SUMPRODUCT(N$20:N$275*COS(2*PI()*L54/L$19*L$20:L$275)+M$20:M$275*SIN(2*PI()*L55/L$19*L$20:L$275))</f>
        <v>-824.82312402244474</v>
      </c>
      <c r="R55" s="2">
        <f t="shared" si="13"/>
        <v>35</v>
      </c>
      <c r="S55" s="54">
        <f t="shared" si="26"/>
        <v>4887.6953125</v>
      </c>
      <c r="T55" s="28">
        <f t="shared" si="14"/>
        <v>4.3392441922684402</v>
      </c>
      <c r="V55" s="11">
        <f t="shared" si="15"/>
        <v>2341.0394861293044</v>
      </c>
    </row>
    <row r="56" spans="2:22" x14ac:dyDescent="0.35">
      <c r="B56" s="2">
        <f t="shared" si="23"/>
        <v>36</v>
      </c>
      <c r="C56" s="5">
        <f t="shared" si="8"/>
        <v>1.0069930069930069</v>
      </c>
      <c r="D56">
        <f t="shared" si="9"/>
        <v>-249</v>
      </c>
      <c r="E56" s="5" t="str">
        <f t="shared" si="10"/>
        <v/>
      </c>
      <c r="F56" s="15">
        <f t="shared" si="0"/>
        <v>62001</v>
      </c>
      <c r="G56" s="2">
        <f t="shared" si="1"/>
        <v>36</v>
      </c>
      <c r="H56" s="45">
        <f t="shared" si="2"/>
        <v>4.7924056987717156</v>
      </c>
      <c r="I56" s="45">
        <f t="shared" si="11"/>
        <v>172.52660515578177</v>
      </c>
      <c r="J56" s="46">
        <f t="shared" si="12"/>
        <v>1296</v>
      </c>
      <c r="K56" s="2"/>
      <c r="L56" s="2">
        <f t="shared" si="3"/>
        <v>36</v>
      </c>
      <c r="M56" s="18">
        <f t="shared" si="4"/>
        <v>-249</v>
      </c>
      <c r="N56" s="20">
        <v>0</v>
      </c>
      <c r="O56" s="18" cm="1">
        <f t="array" ref="O56">SUMPRODUCT(M$20:M$275*COS(2*PI()*L56/L$19*L$20:L$275)+N$20:N$275*SIN(2*PI()*L56/L$19*L$20:L$275))</f>
        <v>2340.3571991601098</v>
      </c>
      <c r="P56" s="20" cm="1">
        <f t="array" ref="P56">SUMPRODUCT(N$20:N$275*COS(2*PI()*L55/L$19*L$20:L$275)+M$20:M$275*SIN(2*PI()*L56/L$19*L$20:L$275))</f>
        <v>-841.84737034900809</v>
      </c>
      <c r="R56" s="2">
        <f t="shared" si="13"/>
        <v>36</v>
      </c>
      <c r="S56" s="54">
        <f t="shared" si="26"/>
        <v>5027.34375</v>
      </c>
      <c r="T56" s="28">
        <f t="shared" si="14"/>
        <v>9.7154797039283061</v>
      </c>
      <c r="V56" s="11">
        <f t="shared" si="15"/>
        <v>2368.8592695450789</v>
      </c>
    </row>
    <row r="57" spans="2:22" x14ac:dyDescent="0.35">
      <c r="B57" s="2">
        <f t="shared" si="23"/>
        <v>37</v>
      </c>
      <c r="C57" s="5" t="str">
        <f t="shared" si="8"/>
        <v/>
      </c>
      <c r="D57">
        <f t="shared" si="9"/>
        <v>-195</v>
      </c>
      <c r="E57" s="5" t="str">
        <f t="shared" si="10"/>
        <v/>
      </c>
      <c r="F57" s="15">
        <f t="shared" si="0"/>
        <v>38025</v>
      </c>
      <c r="G57" s="2">
        <f t="shared" si="1"/>
        <v>37</v>
      </c>
      <c r="H57" s="45">
        <f t="shared" si="2"/>
        <v>4.5800806438630071</v>
      </c>
      <c r="I57" s="45">
        <f t="shared" si="11"/>
        <v>169.46298382293125</v>
      </c>
      <c r="J57" s="46">
        <f t="shared" si="12"/>
        <v>1369</v>
      </c>
      <c r="K57" s="2"/>
      <c r="L57" s="2">
        <f t="shared" si="3"/>
        <v>37</v>
      </c>
      <c r="M57" s="18">
        <f t="shared" si="4"/>
        <v>-195</v>
      </c>
      <c r="N57" s="20">
        <v>0</v>
      </c>
      <c r="O57" s="18" cm="1">
        <f t="array" ref="O57">SUMPRODUCT(M$20:M$275*COS(2*PI()*L57/L$19*L$20:L$275)+N$20:N$275*SIN(2*PI()*L57/L$19*L$20:L$275))</f>
        <v>1098.0738510532017</v>
      </c>
      <c r="P57" s="20" cm="1">
        <f t="array" ref="P57">SUMPRODUCT(N$20:N$275*COS(2*PI()*L56/L$19*L$20:L$275)+M$20:M$275*SIN(2*PI()*L57/L$19*L$20:L$275))</f>
        <v>519.21905003855932</v>
      </c>
      <c r="R57" s="2">
        <f t="shared" si="13"/>
        <v>37</v>
      </c>
      <c r="S57" s="54">
        <f t="shared" si="26"/>
        <v>5166.9921875</v>
      </c>
      <c r="T57" s="28">
        <f t="shared" si="14"/>
        <v>4.7446943736394127</v>
      </c>
      <c r="V57" s="11">
        <f t="shared" si="15"/>
        <v>2396.0088343773959</v>
      </c>
    </row>
    <row r="58" spans="2:22" x14ac:dyDescent="0.35">
      <c r="B58" s="2">
        <f t="shared" si="23"/>
        <v>38</v>
      </c>
      <c r="C58" s="5" t="str">
        <f t="shared" si="8"/>
        <v/>
      </c>
      <c r="D58">
        <f t="shared" si="9"/>
        <v>-157</v>
      </c>
      <c r="E58" s="5" t="str">
        <f t="shared" si="10"/>
        <v/>
      </c>
      <c r="F58" s="15">
        <f t="shared" si="0"/>
        <v>24649</v>
      </c>
      <c r="G58" s="2">
        <f t="shared" si="1"/>
        <v>38</v>
      </c>
      <c r="H58" s="45">
        <f t="shared" si="2"/>
        <v>4.3918169236132485</v>
      </c>
      <c r="I58" s="45">
        <f t="shared" si="11"/>
        <v>166.88904309730344</v>
      </c>
      <c r="J58" s="46">
        <f t="shared" si="12"/>
        <v>1444</v>
      </c>
      <c r="K58" s="2"/>
      <c r="L58" s="2">
        <f t="shared" si="3"/>
        <v>38</v>
      </c>
      <c r="M58" s="18">
        <f t="shared" si="4"/>
        <v>-157</v>
      </c>
      <c r="N58" s="20">
        <v>0</v>
      </c>
      <c r="O58" s="18" cm="1">
        <f t="array" ref="O58">SUMPRODUCT(M$20:M$275*COS(2*PI()*L58/L$19*L$20:L$275)+N$20:N$275*SIN(2*PI()*L58/L$19*L$20:L$275))</f>
        <v>1056.4049443251051</v>
      </c>
      <c r="P58" s="20" cm="1">
        <f t="array" ref="P58">SUMPRODUCT(N$20:N$275*COS(2*PI()*L57/L$19*L$20:L$275)+M$20:M$275*SIN(2*PI()*L58/L$19*L$20:L$275))</f>
        <v>328.50428102435643</v>
      </c>
      <c r="R58" s="2">
        <f t="shared" si="13"/>
        <v>38</v>
      </c>
      <c r="S58" s="54">
        <f t="shared" si="26"/>
        <v>5306.640625</v>
      </c>
      <c r="T58" s="28">
        <f t="shared" si="14"/>
        <v>4.3214963430969062</v>
      </c>
      <c r="V58" s="11">
        <f t="shared" si="15"/>
        <v>2422.5197154547222</v>
      </c>
    </row>
    <row r="59" spans="2:22" x14ac:dyDescent="0.35">
      <c r="B59" s="2">
        <f t="shared" si="23"/>
        <v>39</v>
      </c>
      <c r="C59" s="5" t="str">
        <f t="shared" si="8"/>
        <v/>
      </c>
      <c r="D59">
        <f t="shared" si="9"/>
        <v>-187</v>
      </c>
      <c r="E59" s="5" t="str">
        <f t="shared" si="10"/>
        <v/>
      </c>
      <c r="F59" s="15">
        <f t="shared" si="0"/>
        <v>34969</v>
      </c>
      <c r="G59" s="2">
        <f t="shared" si="1"/>
        <v>39</v>
      </c>
      <c r="H59" s="45">
        <f t="shared" si="2"/>
        <v>4.5436956323092446</v>
      </c>
      <c r="I59" s="45">
        <f t="shared" si="11"/>
        <v>177.20412966006054</v>
      </c>
      <c r="J59" s="46">
        <f t="shared" si="12"/>
        <v>1521</v>
      </c>
      <c r="K59" s="2"/>
      <c r="L59" s="2">
        <f t="shared" si="3"/>
        <v>39</v>
      </c>
      <c r="M59" s="18">
        <f t="shared" si="4"/>
        <v>-187</v>
      </c>
      <c r="N59" s="20">
        <v>0</v>
      </c>
      <c r="O59" s="18" cm="1">
        <f t="array" ref="O59">SUMPRODUCT(M$20:M$275*COS(2*PI()*L59/L$19*L$20:L$275)+N$20:N$275*SIN(2*PI()*L59/L$19*L$20:L$275))</f>
        <v>1405.445660192124</v>
      </c>
      <c r="P59" s="20" cm="1">
        <f t="array" ref="P59">SUMPRODUCT(N$20:N$275*COS(2*PI()*L58/L$19*L$20:L$275)+M$20:M$275*SIN(2*PI()*L59/L$19*L$20:L$275))</f>
        <v>-433.4212271029279</v>
      </c>
      <c r="R59" s="2">
        <f t="shared" si="13"/>
        <v>39</v>
      </c>
      <c r="S59" s="54">
        <f t="shared" si="26"/>
        <v>5446.2890625</v>
      </c>
      <c r="T59" s="28">
        <f t="shared" si="14"/>
        <v>5.7451515838522367</v>
      </c>
      <c r="V59" s="11">
        <f t="shared" si="15"/>
        <v>2448.4212730221225</v>
      </c>
    </row>
    <row r="60" spans="2:22" x14ac:dyDescent="0.35">
      <c r="B60" s="2">
        <f t="shared" si="23"/>
        <v>40</v>
      </c>
      <c r="C60" s="5" t="str">
        <f t="shared" si="8"/>
        <v/>
      </c>
      <c r="D60">
        <f t="shared" si="9"/>
        <v>-277</v>
      </c>
      <c r="E60" s="5" t="str">
        <f t="shared" si="10"/>
        <v/>
      </c>
      <c r="F60" s="15">
        <f t="shared" si="0"/>
        <v>76729</v>
      </c>
      <c r="G60" s="2">
        <f t="shared" si="1"/>
        <v>40</v>
      </c>
      <c r="H60" s="45">
        <f t="shared" si="2"/>
        <v>4.8849651982007325</v>
      </c>
      <c r="I60" s="45">
        <f t="shared" si="11"/>
        <v>195.39860792802929</v>
      </c>
      <c r="J60" s="46">
        <f t="shared" si="12"/>
        <v>1600</v>
      </c>
      <c r="K60" s="2"/>
      <c r="L60" s="2">
        <f t="shared" si="3"/>
        <v>40</v>
      </c>
      <c r="M60" s="18">
        <f t="shared" si="4"/>
        <v>-277</v>
      </c>
      <c r="N60" s="20">
        <v>0</v>
      </c>
      <c r="O60" s="18" cm="1">
        <f t="array" ref="O60">SUMPRODUCT(M$20:M$275*COS(2*PI()*L60/L$19*L$20:L$275)+N$20:N$275*SIN(2*PI()*L60/L$19*L$20:L$275))</f>
        <v>2130.2805006962753</v>
      </c>
      <c r="P60" s="20" cm="1">
        <f t="array" ref="P60">SUMPRODUCT(N$20:N$275*COS(2*PI()*L59/L$19*L$20:L$275)+M$20:M$275*SIN(2*PI()*L60/L$19*L$20:L$275))</f>
        <v>241.2250455230465</v>
      </c>
      <c r="R60" s="2">
        <f t="shared" si="13"/>
        <v>40</v>
      </c>
      <c r="S60" s="54">
        <f t="shared" si="26"/>
        <v>5585.9375</v>
      </c>
      <c r="T60" s="28">
        <f t="shared" si="14"/>
        <v>8.3745887170125144</v>
      </c>
      <c r="V60" s="11">
        <f t="shared" si="15"/>
        <v>2473.7408881972397</v>
      </c>
    </row>
    <row r="61" spans="2:22" x14ac:dyDescent="0.35">
      <c r="B61" s="2">
        <f t="shared" si="23"/>
        <v>41</v>
      </c>
      <c r="C61" s="5" t="str">
        <f t="shared" si="8"/>
        <v/>
      </c>
      <c r="D61">
        <f t="shared" si="9"/>
        <v>-281</v>
      </c>
      <c r="E61" s="5" t="str">
        <f t="shared" si="10"/>
        <v/>
      </c>
      <c r="F61" s="15">
        <f t="shared" si="0"/>
        <v>78961</v>
      </c>
      <c r="G61" s="2">
        <f t="shared" si="1"/>
        <v>41</v>
      </c>
      <c r="H61" s="45">
        <f t="shared" si="2"/>
        <v>4.8974181398890835</v>
      </c>
      <c r="I61" s="45">
        <f t="shared" si="11"/>
        <v>200.79414373545242</v>
      </c>
      <c r="J61" s="46">
        <f t="shared" si="12"/>
        <v>1681</v>
      </c>
      <c r="K61" s="2"/>
      <c r="L61" s="2">
        <f t="shared" si="3"/>
        <v>41</v>
      </c>
      <c r="M61" s="18">
        <f t="shared" si="4"/>
        <v>-281</v>
      </c>
      <c r="N61" s="20">
        <v>0</v>
      </c>
      <c r="O61" s="18" cm="1">
        <f t="array" ref="O61">SUMPRODUCT(M$20:M$275*COS(2*PI()*L61/L$19*L$20:L$275)+N$20:N$275*SIN(2*PI()*L61/L$19*L$20:L$275))</f>
        <v>1843.479662976488</v>
      </c>
      <c r="P61" s="20" cm="1">
        <f t="array" ref="P61">SUMPRODUCT(N$20:N$275*COS(2*PI()*L60/L$19*L$20:L$275)+M$20:M$275*SIN(2*PI()*L61/L$19*L$20:L$275))</f>
        <v>107.93815274777674</v>
      </c>
      <c r="R61" s="2">
        <f t="shared" si="13"/>
        <v>41</v>
      </c>
      <c r="S61" s="54">
        <f t="shared" si="26"/>
        <v>5725.5859375</v>
      </c>
      <c r="T61" s="28">
        <f t="shared" si="14"/>
        <v>7.2134254669725104</v>
      </c>
      <c r="V61" s="11">
        <f t="shared" si="15"/>
        <v>2498.504136948035</v>
      </c>
    </row>
    <row r="62" spans="2:22" x14ac:dyDescent="0.35">
      <c r="B62" s="2">
        <f t="shared" si="23"/>
        <v>42</v>
      </c>
      <c r="C62" s="5" t="str">
        <f t="shared" si="8"/>
        <v/>
      </c>
      <c r="D62">
        <f t="shared" si="9"/>
        <v>-129</v>
      </c>
      <c r="E62" s="5" t="str">
        <f t="shared" si="10"/>
        <v/>
      </c>
      <c r="F62" s="15">
        <f t="shared" si="0"/>
        <v>16641</v>
      </c>
      <c r="G62" s="2">
        <f t="shared" si="1"/>
        <v>42</v>
      </c>
      <c r="H62" s="45">
        <f t="shared" si="2"/>
        <v>4.2212055176740035</v>
      </c>
      <c r="I62" s="45">
        <f t="shared" si="11"/>
        <v>177.29063174230814</v>
      </c>
      <c r="J62" s="46">
        <f t="shared" si="12"/>
        <v>1764</v>
      </c>
      <c r="K62" s="2"/>
      <c r="L62" s="2">
        <f t="shared" si="3"/>
        <v>42</v>
      </c>
      <c r="M62" s="18">
        <f t="shared" si="4"/>
        <v>-129</v>
      </c>
      <c r="N62" s="20">
        <v>0</v>
      </c>
      <c r="O62" s="18" cm="1">
        <f t="array" ref="O62">SUMPRODUCT(M$20:M$275*COS(2*PI()*L62/L$19*L$20:L$275)+N$20:N$275*SIN(2*PI()*L62/L$19*L$20:L$275))</f>
        <v>1866.2631222964501</v>
      </c>
      <c r="P62" s="20" cm="1">
        <f t="array" ref="P62">SUMPRODUCT(N$20:N$275*COS(2*PI()*L61/L$19*L$20:L$275)+M$20:M$275*SIN(2*PI()*L62/L$19*L$20:L$275))</f>
        <v>499.68468918815302</v>
      </c>
      <c r="R62" s="2">
        <f t="shared" si="13"/>
        <v>42</v>
      </c>
      <c r="S62" s="54">
        <f t="shared" si="26"/>
        <v>5865.234375</v>
      </c>
      <c r="T62" s="28">
        <f t="shared" si="14"/>
        <v>7.5468738174623367</v>
      </c>
      <c r="V62" s="11">
        <f t="shared" si="15"/>
        <v>2522.7349453637362</v>
      </c>
    </row>
    <row r="63" spans="2:22" x14ac:dyDescent="0.35">
      <c r="B63" s="2">
        <f t="shared" si="23"/>
        <v>43</v>
      </c>
      <c r="C63" s="5" t="str">
        <f t="shared" si="8"/>
        <v/>
      </c>
      <c r="D63">
        <f t="shared" si="9"/>
        <v>1</v>
      </c>
      <c r="E63" s="5">
        <f t="shared" si="10"/>
        <v>1</v>
      </c>
      <c r="F63" s="15">
        <f t="shared" si="0"/>
        <v>1</v>
      </c>
      <c r="G63" s="2">
        <f t="shared" si="1"/>
        <v>43</v>
      </c>
      <c r="H63" s="45">
        <f t="shared" si="2"/>
        <v>0.3010299956639812</v>
      </c>
      <c r="I63" s="45">
        <f t="shared" si="11"/>
        <v>12.944289813551192</v>
      </c>
      <c r="J63" s="46">
        <f t="shared" si="12"/>
        <v>1849</v>
      </c>
      <c r="K63" s="2"/>
      <c r="L63" s="2">
        <f t="shared" si="3"/>
        <v>43</v>
      </c>
      <c r="M63" s="18">
        <f t="shared" si="4"/>
        <v>1</v>
      </c>
      <c r="N63" s="20">
        <v>0</v>
      </c>
      <c r="O63" s="18" cm="1">
        <f t="array" ref="O63">SUMPRODUCT(M$20:M$275*COS(2*PI()*L63/L$19*L$20:L$275)+N$20:N$275*SIN(2*PI()*L63/L$19*L$20:L$275))</f>
        <v>1095.4090009345121</v>
      </c>
      <c r="P63" s="20" cm="1">
        <f t="array" ref="P63">SUMPRODUCT(N$20:N$275*COS(2*PI()*L62/L$19*L$20:L$275)+M$20:M$275*SIN(2*PI()*L63/L$19*L$20:L$275))</f>
        <v>317.22675746304793</v>
      </c>
      <c r="R63" s="2">
        <f t="shared" si="13"/>
        <v>43</v>
      </c>
      <c r="S63" s="54">
        <f t="shared" si="26"/>
        <v>6004.8828125</v>
      </c>
      <c r="T63" s="28">
        <f t="shared" si="14"/>
        <v>4.4547586350034134</v>
      </c>
      <c r="V63" s="11">
        <f t="shared" si="15"/>
        <v>2546.4557285819778</v>
      </c>
    </row>
    <row r="64" spans="2:22" x14ac:dyDescent="0.35">
      <c r="B64" s="2">
        <f t="shared" si="23"/>
        <v>44</v>
      </c>
      <c r="C64" s="5" t="str">
        <f t="shared" si="8"/>
        <v/>
      </c>
      <c r="D64">
        <f t="shared" si="9"/>
        <v>35</v>
      </c>
      <c r="E64" s="5" t="str">
        <f t="shared" si="10"/>
        <v/>
      </c>
      <c r="F64" s="15">
        <f t="shared" si="0"/>
        <v>1225</v>
      </c>
      <c r="G64" s="2">
        <f t="shared" si="1"/>
        <v>44</v>
      </c>
      <c r="H64" s="45">
        <f t="shared" si="2"/>
        <v>3.0884904701823963</v>
      </c>
      <c r="I64" s="45">
        <f t="shared" si="11"/>
        <v>135.89358068802545</v>
      </c>
      <c r="J64" s="46">
        <f t="shared" si="12"/>
        <v>1936</v>
      </c>
      <c r="K64" s="2"/>
      <c r="L64" s="2">
        <f t="shared" si="3"/>
        <v>44</v>
      </c>
      <c r="M64" s="18">
        <f t="shared" si="4"/>
        <v>35</v>
      </c>
      <c r="N64" s="20">
        <v>0</v>
      </c>
      <c r="O64" s="18" cm="1">
        <f t="array" ref="O64">SUMPRODUCT(M$20:M$275*COS(2*PI()*L64/L$19*L$20:L$275)+N$20:N$275*SIN(2*PI()*L64/L$19*L$20:L$275))</f>
        <v>-331.12729102141179</v>
      </c>
      <c r="P64" s="20" cm="1">
        <f t="array" ref="P64">SUMPRODUCT(N$20:N$275*COS(2*PI()*L63/L$19*L$20:L$275)+M$20:M$275*SIN(2*PI()*L64/L$19*L$20:L$275))</f>
        <v>1177.832560122436</v>
      </c>
      <c r="R64" s="2">
        <f t="shared" si="13"/>
        <v>44</v>
      </c>
      <c r="S64" s="54">
        <f t="shared" si="26"/>
        <v>6144.53125</v>
      </c>
      <c r="T64" s="28">
        <f t="shared" si="14"/>
        <v>4.779269054730646</v>
      </c>
      <c r="V64" s="11">
        <f t="shared" si="15"/>
        <v>2569.68751539406</v>
      </c>
    </row>
    <row r="65" spans="2:22" x14ac:dyDescent="0.35">
      <c r="B65" s="2">
        <f t="shared" si="23"/>
        <v>45</v>
      </c>
      <c r="C65" s="5" t="str">
        <f t="shared" si="8"/>
        <v/>
      </c>
      <c r="D65">
        <f t="shared" si="9"/>
        <v>104</v>
      </c>
      <c r="E65" s="5" t="str">
        <f t="shared" si="10"/>
        <v/>
      </c>
      <c r="F65" s="15">
        <f t="shared" si="0"/>
        <v>10816</v>
      </c>
      <c r="G65" s="2">
        <f t="shared" si="1"/>
        <v>45</v>
      </c>
      <c r="H65" s="45">
        <f t="shared" si="2"/>
        <v>4.0341068297076434</v>
      </c>
      <c r="I65" s="45">
        <f t="shared" si="11"/>
        <v>181.53480733684395</v>
      </c>
      <c r="J65" s="46">
        <f t="shared" si="12"/>
        <v>2025</v>
      </c>
      <c r="K65" s="2"/>
      <c r="L65" s="2">
        <f t="shared" si="3"/>
        <v>45</v>
      </c>
      <c r="M65" s="18">
        <f t="shared" si="4"/>
        <v>104</v>
      </c>
      <c r="N65" s="20">
        <v>0</v>
      </c>
      <c r="O65" s="18" cm="1">
        <f t="array" ref="O65">SUMPRODUCT(M$20:M$275*COS(2*PI()*L65/L$19*L$20:L$275)+N$20:N$275*SIN(2*PI()*L65/L$19*L$20:L$275))</f>
        <v>766.66250102746085</v>
      </c>
      <c r="P65" s="20" cm="1">
        <f t="array" ref="P65">SUMPRODUCT(N$20:N$275*COS(2*PI()*L64/L$19*L$20:L$275)+M$20:M$275*SIN(2*PI()*L65/L$19*L$20:L$275))</f>
        <v>787.80911673887977</v>
      </c>
      <c r="R65" s="2">
        <f t="shared" si="13"/>
        <v>45</v>
      </c>
      <c r="S65" s="54">
        <f t="shared" si="26"/>
        <v>6284.1796875</v>
      </c>
      <c r="T65" s="28">
        <f t="shared" si="14"/>
        <v>4.2940590824537743</v>
      </c>
      <c r="V65" s="11">
        <f t="shared" si="15"/>
        <v>2592.4500602643116</v>
      </c>
    </row>
    <row r="66" spans="2:22" x14ac:dyDescent="0.35">
      <c r="B66" s="2">
        <f t="shared" si="23"/>
        <v>46</v>
      </c>
      <c r="C66" s="5" t="str">
        <f t="shared" si="8"/>
        <v/>
      </c>
      <c r="D66">
        <f t="shared" si="9"/>
        <v>245</v>
      </c>
      <c r="E66" s="5" t="str">
        <f t="shared" si="10"/>
        <v/>
      </c>
      <c r="F66" s="15">
        <f t="shared" si="0"/>
        <v>60025</v>
      </c>
      <c r="G66" s="2">
        <f t="shared" si="1"/>
        <v>46</v>
      </c>
      <c r="H66" s="45">
        <f t="shared" si="2"/>
        <v>4.7783394038954841</v>
      </c>
      <c r="I66" s="45">
        <f t="shared" si="11"/>
        <v>219.80361257919228</v>
      </c>
      <c r="J66" s="46">
        <f t="shared" si="12"/>
        <v>2116</v>
      </c>
      <c r="K66" s="2"/>
      <c r="L66" s="2">
        <f t="shared" si="3"/>
        <v>46</v>
      </c>
      <c r="M66" s="18">
        <f t="shared" si="4"/>
        <v>245</v>
      </c>
      <c r="N66" s="20">
        <v>0</v>
      </c>
      <c r="O66" s="18" cm="1">
        <f t="array" ref="O66">SUMPRODUCT(M$20:M$275*COS(2*PI()*L66/L$19*L$20:L$275)+N$20:N$275*SIN(2*PI()*L66/L$19*L$20:L$275))</f>
        <v>541.92355632553836</v>
      </c>
      <c r="P66" s="20" cm="1">
        <f t="array" ref="P66">SUMPRODUCT(N$20:N$275*COS(2*PI()*L65/L$19*L$20:L$275)+M$20:M$275*SIN(2*PI()*L66/L$19*L$20:L$275))</f>
        <v>736.79017756838175</v>
      </c>
      <c r="R66" s="2">
        <f t="shared" si="13"/>
        <v>46</v>
      </c>
      <c r="S66" s="54">
        <f t="shared" si="26"/>
        <v>6423.828125</v>
      </c>
      <c r="T66" s="28">
        <f t="shared" si="14"/>
        <v>3.5727582113689689</v>
      </c>
      <c r="V66" s="11">
        <f t="shared" si="15"/>
        <v>2614.7619442589025</v>
      </c>
    </row>
    <row r="67" spans="2:22" x14ac:dyDescent="0.35">
      <c r="B67" s="2">
        <f t="shared" si="23"/>
        <v>47</v>
      </c>
      <c r="C67" s="5" t="str">
        <f t="shared" si="8"/>
        <v/>
      </c>
      <c r="D67">
        <f t="shared" si="9"/>
        <v>349</v>
      </c>
      <c r="E67" s="5" t="str">
        <f t="shared" si="10"/>
        <v/>
      </c>
      <c r="F67" s="15">
        <f t="shared" si="0"/>
        <v>121801</v>
      </c>
      <c r="G67" s="2">
        <f t="shared" si="1"/>
        <v>47</v>
      </c>
      <c r="H67" s="45">
        <f t="shared" si="2"/>
        <v>5.0856544195105888</v>
      </c>
      <c r="I67" s="45">
        <f t="shared" si="11"/>
        <v>239.02575771699767</v>
      </c>
      <c r="J67" s="46">
        <f t="shared" si="12"/>
        <v>2209</v>
      </c>
      <c r="K67" s="2"/>
      <c r="L67" s="2">
        <f t="shared" si="3"/>
        <v>47</v>
      </c>
      <c r="M67" s="18">
        <f t="shared" si="4"/>
        <v>349</v>
      </c>
      <c r="N67" s="20">
        <v>0</v>
      </c>
      <c r="O67" s="18" cm="1">
        <f t="array" ref="O67">SUMPRODUCT(M$20:M$275*COS(2*PI()*L67/L$19*L$20:L$275)+N$20:N$275*SIN(2*PI()*L67/L$19*L$20:L$275))</f>
        <v>1807.4637392400055</v>
      </c>
      <c r="P67" s="20" cm="1">
        <f t="array" ref="P67">SUMPRODUCT(N$20:N$275*COS(2*PI()*L66/L$19*L$20:L$275)+M$20:M$275*SIN(2*PI()*L67/L$19*L$20:L$275))</f>
        <v>-18.786946685886335</v>
      </c>
      <c r="R67" s="2">
        <f t="shared" si="13"/>
        <v>47</v>
      </c>
      <c r="S67" s="54">
        <f t="shared" si="26"/>
        <v>6563.4765625</v>
      </c>
      <c r="T67" s="28">
        <f t="shared" si="14"/>
        <v>7.0607866142230362</v>
      </c>
      <c r="V67" s="11">
        <f t="shared" si="15"/>
        <v>2636.6406661761916</v>
      </c>
    </row>
    <row r="68" spans="2:22" x14ac:dyDescent="0.35">
      <c r="B68" s="2">
        <f t="shared" si="23"/>
        <v>48</v>
      </c>
      <c r="C68" s="5" t="str">
        <f t="shared" si="8"/>
        <v/>
      </c>
      <c r="D68">
        <f t="shared" si="9"/>
        <v>351</v>
      </c>
      <c r="E68" s="5" t="str">
        <f t="shared" si="10"/>
        <v/>
      </c>
      <c r="F68" s="15">
        <f t="shared" si="0"/>
        <v>123201</v>
      </c>
      <c r="G68" s="2">
        <f t="shared" si="1"/>
        <v>48</v>
      </c>
      <c r="H68" s="45">
        <f t="shared" si="2"/>
        <v>5.0906177580062772</v>
      </c>
      <c r="I68" s="45">
        <f t="shared" si="11"/>
        <v>244.34965238430129</v>
      </c>
      <c r="J68" s="46">
        <f t="shared" si="12"/>
        <v>2304</v>
      </c>
      <c r="K68" s="2"/>
      <c r="L68" s="2">
        <f t="shared" si="3"/>
        <v>48</v>
      </c>
      <c r="M68" s="18">
        <f t="shared" si="4"/>
        <v>351</v>
      </c>
      <c r="N68" s="20">
        <v>0</v>
      </c>
      <c r="O68" s="18" cm="1">
        <f t="array" ref="O68">SUMPRODUCT(M$20:M$275*COS(2*PI()*L68/L$19*L$20:L$275)+N$20:N$275*SIN(2*PI()*L68/L$19*L$20:L$275))</f>
        <v>1094.680495969739</v>
      </c>
      <c r="P68" s="20" cm="1">
        <f t="array" ref="P68">SUMPRODUCT(N$20:N$275*COS(2*PI()*L67/L$19*L$20:L$275)+M$20:M$275*SIN(2*PI()*L68/L$19*L$20:L$275))</f>
        <v>1677.1252320509325</v>
      </c>
      <c r="R68" s="2">
        <f t="shared" si="13"/>
        <v>48</v>
      </c>
      <c r="S68" s="54">
        <f t="shared" si="26"/>
        <v>6703.125</v>
      </c>
      <c r="T68" s="28">
        <f t="shared" si="14"/>
        <v>7.8233074000395399</v>
      </c>
      <c r="V68" s="11">
        <f t="shared" si="15"/>
        <v>2658.1027249984231</v>
      </c>
    </row>
    <row r="69" spans="2:22" x14ac:dyDescent="0.35">
      <c r="B69" s="2">
        <f t="shared" si="23"/>
        <v>49</v>
      </c>
      <c r="C69" s="5" t="str">
        <f t="shared" si="8"/>
        <v/>
      </c>
      <c r="D69">
        <f t="shared" si="9"/>
        <v>270</v>
      </c>
      <c r="E69" s="5" t="str">
        <f t="shared" si="10"/>
        <v/>
      </c>
      <c r="F69" s="15">
        <f t="shared" si="0"/>
        <v>72900</v>
      </c>
      <c r="G69" s="2">
        <f t="shared" si="1"/>
        <v>49</v>
      </c>
      <c r="H69" s="45">
        <f t="shared" si="2"/>
        <v>4.8627334856774151</v>
      </c>
      <c r="I69" s="45">
        <f t="shared" si="11"/>
        <v>238.27394079819334</v>
      </c>
      <c r="J69" s="46">
        <f t="shared" si="12"/>
        <v>2401</v>
      </c>
      <c r="K69" s="2"/>
      <c r="L69" s="2">
        <f t="shared" si="3"/>
        <v>49</v>
      </c>
      <c r="M69" s="18">
        <f t="shared" si="4"/>
        <v>270</v>
      </c>
      <c r="N69" s="20">
        <v>0</v>
      </c>
      <c r="O69" s="18" cm="1">
        <f t="array" ref="O69">SUMPRODUCT(M$20:M$275*COS(2*PI()*L69/L$19*L$20:L$275)+N$20:N$275*SIN(2*PI()*L69/L$19*L$20:L$275))</f>
        <v>587.20639339212346</v>
      </c>
      <c r="P69" s="20" cm="1">
        <f t="array" ref="P69">SUMPRODUCT(N$20:N$275*COS(2*PI()*L68/L$19*L$20:L$275)+M$20:M$275*SIN(2*PI()*L69/L$19*L$20:L$275))</f>
        <v>1469.2255757061598</v>
      </c>
      <c r="R69" s="2">
        <f t="shared" si="13"/>
        <v>49</v>
      </c>
      <c r="S69" s="54">
        <f t="shared" si="26"/>
        <v>6842.7734375</v>
      </c>
      <c r="T69" s="28">
        <f t="shared" si="14"/>
        <v>6.1805654065262825</v>
      </c>
      <c r="V69" s="11">
        <f t="shared" si="15"/>
        <v>2679.1636946380545</v>
      </c>
    </row>
    <row r="70" spans="2:22" x14ac:dyDescent="0.35">
      <c r="B70" s="2">
        <f t="shared" si="23"/>
        <v>50</v>
      </c>
      <c r="C70" s="5" t="str">
        <f t="shared" si="8"/>
        <v/>
      </c>
      <c r="D70">
        <f t="shared" si="9"/>
        <v>178</v>
      </c>
      <c r="E70" s="5" t="str">
        <f t="shared" si="10"/>
        <v/>
      </c>
      <c r="F70" s="15">
        <f t="shared" si="0"/>
        <v>31684</v>
      </c>
      <c r="G70" s="2">
        <f t="shared" si="1"/>
        <v>50</v>
      </c>
      <c r="H70" s="45">
        <f t="shared" si="2"/>
        <v>4.5008537114612581</v>
      </c>
      <c r="I70" s="45">
        <f t="shared" si="11"/>
        <v>225.0426855730629</v>
      </c>
      <c r="J70" s="46">
        <f t="shared" si="12"/>
        <v>2500</v>
      </c>
      <c r="K70" s="2"/>
      <c r="L70" s="2">
        <f t="shared" si="3"/>
        <v>50</v>
      </c>
      <c r="M70" s="18">
        <f t="shared" si="4"/>
        <v>178</v>
      </c>
      <c r="N70" s="20">
        <v>0</v>
      </c>
      <c r="O70" s="18" cm="1">
        <f t="array" ref="O70">SUMPRODUCT(M$20:M$275*COS(2*PI()*L70/L$19*L$20:L$275)+N$20:N$275*SIN(2*PI()*L70/L$19*L$20:L$275))</f>
        <v>-179.0790853062644</v>
      </c>
      <c r="P70" s="20" cm="1">
        <f t="array" ref="P70">SUMPRODUCT(N$20:N$275*COS(2*PI()*L69/L$19*L$20:L$275)+M$20:M$275*SIN(2*PI()*L70/L$19*L$20:L$275))</f>
        <v>1762.8037529909095</v>
      </c>
      <c r="R70" s="2">
        <f t="shared" si="13"/>
        <v>50</v>
      </c>
      <c r="S70" s="54">
        <f t="shared" si="26"/>
        <v>6982.421875</v>
      </c>
      <c r="T70" s="28">
        <f t="shared" si="14"/>
        <v>6.9213926432712345</v>
      </c>
      <c r="V70" s="11">
        <f t="shared" si="15"/>
        <v>2699.8382918269981</v>
      </c>
    </row>
    <row r="71" spans="2:22" x14ac:dyDescent="0.35">
      <c r="B71" s="2">
        <f t="shared" si="23"/>
        <v>51</v>
      </c>
      <c r="C71" s="5" t="str">
        <f t="shared" si="8"/>
        <v/>
      </c>
      <c r="D71">
        <f t="shared" si="9"/>
        <v>135</v>
      </c>
      <c r="E71" s="5" t="str">
        <f t="shared" si="10"/>
        <v/>
      </c>
      <c r="F71" s="15">
        <f t="shared" si="0"/>
        <v>18225</v>
      </c>
      <c r="G71" s="2">
        <f t="shared" si="1"/>
        <v>51</v>
      </c>
      <c r="H71" s="45">
        <f t="shared" si="2"/>
        <v>4.2606913659374763</v>
      </c>
      <c r="I71" s="45">
        <f t="shared" si="11"/>
        <v>217.2952596628113</v>
      </c>
      <c r="J71" s="46">
        <f t="shared" si="12"/>
        <v>2601</v>
      </c>
      <c r="K71" s="2"/>
      <c r="L71" s="2">
        <f t="shared" si="3"/>
        <v>51</v>
      </c>
      <c r="M71" s="18">
        <f t="shared" si="4"/>
        <v>135</v>
      </c>
      <c r="N71" s="20">
        <v>0</v>
      </c>
      <c r="O71" s="18" cm="1">
        <f t="array" ref="O71">SUMPRODUCT(M$20:M$275*COS(2*PI()*L71/L$19*L$20:L$275)+N$20:N$275*SIN(2*PI()*L71/L$19*L$20:L$275))</f>
        <v>-717.30620906370552</v>
      </c>
      <c r="P71" s="20" cm="1">
        <f t="array" ref="P71">SUMPRODUCT(N$20:N$275*COS(2*PI()*L70/L$19*L$20:L$275)+M$20:M$275*SIN(2*PI()*L71/L$19*L$20:L$275))</f>
        <v>1508.6259563089889</v>
      </c>
      <c r="R71" s="2">
        <f t="shared" si="13"/>
        <v>51</v>
      </c>
      <c r="S71" s="54">
        <f t="shared" si="26"/>
        <v>7122.0703125</v>
      </c>
      <c r="T71" s="28">
        <f t="shared" si="14"/>
        <v>6.5252856588695458</v>
      </c>
      <c r="V71" s="11">
        <f t="shared" si="15"/>
        <v>2720.140437890062</v>
      </c>
    </row>
    <row r="72" spans="2:22" x14ac:dyDescent="0.35">
      <c r="B72" s="2">
        <f t="shared" si="23"/>
        <v>52</v>
      </c>
      <c r="C72" s="5" t="str">
        <f t="shared" si="8"/>
        <v/>
      </c>
      <c r="D72">
        <f t="shared" si="9"/>
        <v>127</v>
      </c>
      <c r="E72" s="5" t="str">
        <f t="shared" si="10"/>
        <v/>
      </c>
      <c r="F72" s="15">
        <f t="shared" si="0"/>
        <v>16129</v>
      </c>
      <c r="G72" s="2">
        <f t="shared" si="1"/>
        <v>52</v>
      </c>
      <c r="H72" s="45">
        <f t="shared" si="2"/>
        <v>4.2076343673889616</v>
      </c>
      <c r="I72" s="45">
        <f t="shared" si="11"/>
        <v>218.79698710422599</v>
      </c>
      <c r="J72" s="46">
        <f t="shared" si="12"/>
        <v>2704</v>
      </c>
      <c r="K72" s="2"/>
      <c r="L72" s="2">
        <f t="shared" si="3"/>
        <v>52</v>
      </c>
      <c r="M72" s="18">
        <f t="shared" si="4"/>
        <v>127</v>
      </c>
      <c r="N72" s="20">
        <v>0</v>
      </c>
      <c r="O72" s="18" cm="1">
        <f t="array" ref="O72">SUMPRODUCT(M$20:M$275*COS(2*PI()*L72/L$19*L$20:L$275)+N$20:N$275*SIN(2*PI()*L72/L$19*L$20:L$275))</f>
        <v>-1139.9921663097775</v>
      </c>
      <c r="P72" s="20" cm="1">
        <f t="array" ref="P72">SUMPRODUCT(N$20:N$275*COS(2*PI()*L71/L$19*L$20:L$275)+M$20:M$275*SIN(2*PI()*L72/L$19*L$20:L$275))</f>
        <v>1219.7763102385259</v>
      </c>
      <c r="R72" s="2">
        <f t="shared" si="13"/>
        <v>52</v>
      </c>
      <c r="S72" s="54">
        <f t="shared" si="26"/>
        <v>7261.71875</v>
      </c>
      <c r="T72" s="28">
        <f t="shared" si="14"/>
        <v>6.5217255265138183</v>
      </c>
      <c r="V72" s="11">
        <f t="shared" si="15"/>
        <v>2740.0833150520316</v>
      </c>
    </row>
    <row r="73" spans="2:22" x14ac:dyDescent="0.35">
      <c r="B73" s="2">
        <f t="shared" si="23"/>
        <v>53</v>
      </c>
      <c r="C73" s="5" t="str">
        <f t="shared" si="8"/>
        <v/>
      </c>
      <c r="D73">
        <f t="shared" si="9"/>
        <v>137</v>
      </c>
      <c r="E73" s="5" t="str">
        <f t="shared" si="10"/>
        <v/>
      </c>
      <c r="F73" s="15">
        <f t="shared" si="0"/>
        <v>18769</v>
      </c>
      <c r="G73" s="2">
        <f t="shared" si="1"/>
        <v>53</v>
      </c>
      <c r="H73" s="45">
        <f t="shared" si="2"/>
        <v>4.2734642726213465</v>
      </c>
      <c r="I73" s="45">
        <f t="shared" si="11"/>
        <v>226.49360644893136</v>
      </c>
      <c r="J73" s="46">
        <f t="shared" si="12"/>
        <v>2809</v>
      </c>
      <c r="K73" s="2"/>
      <c r="L73" s="2">
        <f t="shared" si="3"/>
        <v>53</v>
      </c>
      <c r="M73" s="18">
        <f t="shared" si="4"/>
        <v>137</v>
      </c>
      <c r="N73" s="20">
        <v>0</v>
      </c>
      <c r="O73" s="18" cm="1">
        <f t="array" ref="O73">SUMPRODUCT(M$20:M$275*COS(2*PI()*L73/L$19*L$20:L$275)+N$20:N$275*SIN(2*PI()*L73/L$19*L$20:L$275))</f>
        <v>-1772.01455492643</v>
      </c>
      <c r="P73" s="20" cm="1">
        <f t="array" ref="P73">SUMPRODUCT(N$20:N$275*COS(2*PI()*L72/L$19*L$20:L$275)+M$20:M$275*SIN(2*PI()*L73/L$19*L$20:L$275))</f>
        <v>617.99827825719399</v>
      </c>
      <c r="R73" s="2">
        <f t="shared" si="13"/>
        <v>53</v>
      </c>
      <c r="S73" s="54">
        <f t="shared" si="26"/>
        <v>7401.3671875</v>
      </c>
      <c r="T73" s="28">
        <f t="shared" si="14"/>
        <v>7.3308120893862858</v>
      </c>
      <c r="V73" s="11">
        <f t="shared" si="15"/>
        <v>2759.6794178487876</v>
      </c>
    </row>
    <row r="74" spans="2:22" x14ac:dyDescent="0.35">
      <c r="B74" s="2">
        <f t="shared" si="23"/>
        <v>54</v>
      </c>
      <c r="C74" s="5" t="str">
        <f t="shared" si="8"/>
        <v/>
      </c>
      <c r="D74">
        <f t="shared" si="9"/>
        <v>192</v>
      </c>
      <c r="E74" s="5" t="str">
        <f t="shared" si="10"/>
        <v/>
      </c>
      <c r="F74" s="15">
        <f t="shared" si="0"/>
        <v>36864</v>
      </c>
      <c r="G74" s="2">
        <f t="shared" si="1"/>
        <v>54</v>
      </c>
      <c r="H74" s="45">
        <f t="shared" si="2"/>
        <v>4.5666142382391177</v>
      </c>
      <c r="I74" s="45">
        <f t="shared" si="11"/>
        <v>246.59716886491236</v>
      </c>
      <c r="J74" s="46">
        <f t="shared" si="12"/>
        <v>2916</v>
      </c>
      <c r="K74" s="2"/>
      <c r="L74" s="2">
        <f t="shared" si="3"/>
        <v>54</v>
      </c>
      <c r="M74" s="18">
        <f t="shared" si="4"/>
        <v>192</v>
      </c>
      <c r="N74" s="20">
        <v>0</v>
      </c>
      <c r="O74" s="18" cm="1">
        <f t="array" ref="O74">SUMPRODUCT(M$20:M$275*COS(2*PI()*L74/L$19*L$20:L$275)+N$20:N$275*SIN(2*PI()*L74/L$19*L$20:L$275))</f>
        <v>-173.0508721082316</v>
      </c>
      <c r="P74" s="20" cm="1">
        <f t="array" ref="P74">SUMPRODUCT(N$20:N$275*COS(2*PI()*L73/L$19*L$20:L$275)+M$20:M$275*SIN(2*PI()*L74/L$19*L$20:L$275))</f>
        <v>-215.91611939446571</v>
      </c>
      <c r="R74" s="2">
        <f t="shared" si="13"/>
        <v>54</v>
      </c>
      <c r="S74" s="54">
        <f t="shared" si="26"/>
        <v>7541.015625</v>
      </c>
      <c r="T74" s="28">
        <f t="shared" si="14"/>
        <v>1.0808839737314855</v>
      </c>
      <c r="V74" s="11">
        <f t="shared" si="15"/>
        <v>2778.9406001445786</v>
      </c>
    </row>
    <row r="75" spans="2:22" x14ac:dyDescent="0.35">
      <c r="B75" s="2">
        <f t="shared" si="23"/>
        <v>55</v>
      </c>
      <c r="C75" s="5" t="str">
        <f t="shared" si="8"/>
        <v/>
      </c>
      <c r="D75">
        <f t="shared" si="9"/>
        <v>288</v>
      </c>
      <c r="E75" s="5" t="str">
        <f t="shared" si="10"/>
        <v/>
      </c>
      <c r="F75" s="15">
        <f t="shared" si="0"/>
        <v>82944</v>
      </c>
      <c r="G75" s="2">
        <f t="shared" si="1"/>
        <v>55</v>
      </c>
      <c r="H75" s="45">
        <f t="shared" si="2"/>
        <v>4.9187902114832562</v>
      </c>
      <c r="I75" s="45">
        <f t="shared" si="11"/>
        <v>270.53346163157909</v>
      </c>
      <c r="J75" s="46">
        <f t="shared" si="12"/>
        <v>3025</v>
      </c>
      <c r="K75" s="2"/>
      <c r="L75" s="2">
        <f t="shared" si="3"/>
        <v>55</v>
      </c>
      <c r="M75" s="18">
        <f t="shared" si="4"/>
        <v>288</v>
      </c>
      <c r="N75" s="20">
        <v>0</v>
      </c>
      <c r="O75" s="18" cm="1">
        <f t="array" ref="O75">SUMPRODUCT(M$20:M$275*COS(2*PI()*L75/L$19*L$20:L$275)+N$20:N$275*SIN(2*PI()*L75/L$19*L$20:L$275))</f>
        <v>65.2981800698836</v>
      </c>
      <c r="P75" s="20" cm="1">
        <f t="array" ref="P75">SUMPRODUCT(N$20:N$275*COS(2*PI()*L74/L$19*L$20:L$275)+M$20:M$275*SIN(2*PI()*L75/L$19*L$20:L$275))</f>
        <v>-118.06612598751326</v>
      </c>
      <c r="R75" s="2">
        <f t="shared" si="13"/>
        <v>55</v>
      </c>
      <c r="S75" s="54">
        <f t="shared" si="26"/>
        <v>7680.6640625</v>
      </c>
      <c r="T75" s="28">
        <f t="shared" si="14"/>
        <v>0.527032061043338</v>
      </c>
      <c r="V75" s="11">
        <f t="shared" si="15"/>
        <v>2797.8781181985223</v>
      </c>
    </row>
    <row r="76" spans="2:22" x14ac:dyDescent="0.35">
      <c r="B76" s="2">
        <f t="shared" si="23"/>
        <v>56</v>
      </c>
      <c r="C76" s="5" t="str">
        <f t="shared" si="8"/>
        <v/>
      </c>
      <c r="D76">
        <f t="shared" si="9"/>
        <v>360</v>
      </c>
      <c r="E76" s="5" t="str">
        <f t="shared" si="10"/>
        <v/>
      </c>
      <c r="F76" s="15">
        <f t="shared" si="0"/>
        <v>129600</v>
      </c>
      <c r="G76" s="2">
        <f t="shared" si="1"/>
        <v>56</v>
      </c>
      <c r="H76" s="45">
        <f t="shared" si="2"/>
        <v>5.1126083525593149</v>
      </c>
      <c r="I76" s="45">
        <f t="shared" si="11"/>
        <v>286.30606774332165</v>
      </c>
      <c r="J76" s="46">
        <f t="shared" si="12"/>
        <v>3136</v>
      </c>
      <c r="K76" s="2"/>
      <c r="L76" s="2">
        <f t="shared" si="3"/>
        <v>56</v>
      </c>
      <c r="M76" s="18">
        <f t="shared" si="4"/>
        <v>360</v>
      </c>
      <c r="N76" s="20">
        <v>0</v>
      </c>
      <c r="O76" s="18" cm="1">
        <f t="array" ref="O76">SUMPRODUCT(M$20:M$275*COS(2*PI()*L76/L$19*L$20:L$275)+N$20:N$275*SIN(2*PI()*L76/L$19*L$20:L$275))</f>
        <v>-719.08132036754034</v>
      </c>
      <c r="P76" s="20" cm="1">
        <f t="array" ref="P76">SUMPRODUCT(N$20:N$275*COS(2*PI()*L75/L$19*L$20:L$275)+M$20:M$275*SIN(2*PI()*L76/L$19*L$20:L$275))</f>
        <v>-125.28026628855862</v>
      </c>
      <c r="R76" s="2">
        <f t="shared" si="13"/>
        <v>56</v>
      </c>
      <c r="S76" s="54">
        <f t="shared" si="26"/>
        <v>7820.3125</v>
      </c>
      <c r="T76" s="28">
        <f t="shared" si="14"/>
        <v>2.8512229314696911</v>
      </c>
      <c r="V76" s="11">
        <f t="shared" si="15"/>
        <v>2816.5026701721176</v>
      </c>
    </row>
    <row r="77" spans="2:22" x14ac:dyDescent="0.35">
      <c r="B77" s="2">
        <f t="shared" si="23"/>
        <v>57</v>
      </c>
      <c r="C77" s="5" t="str">
        <f t="shared" si="8"/>
        <v/>
      </c>
      <c r="D77">
        <f t="shared" si="9"/>
        <v>317</v>
      </c>
      <c r="E77" s="5" t="str">
        <f t="shared" si="10"/>
        <v/>
      </c>
      <c r="F77" s="15">
        <f t="shared" si="0"/>
        <v>100489</v>
      </c>
      <c r="G77" s="2">
        <f t="shared" si="1"/>
        <v>57</v>
      </c>
      <c r="H77" s="45">
        <f t="shared" si="2"/>
        <v>5.0021228462251619</v>
      </c>
      <c r="I77" s="45">
        <f t="shared" si="11"/>
        <v>285.12100223483424</v>
      </c>
      <c r="J77" s="46">
        <f t="shared" si="12"/>
        <v>3249</v>
      </c>
      <c r="K77" s="2"/>
      <c r="L77" s="2">
        <f t="shared" si="3"/>
        <v>57</v>
      </c>
      <c r="M77" s="18">
        <f t="shared" si="4"/>
        <v>317</v>
      </c>
      <c r="N77" s="20">
        <v>0</v>
      </c>
      <c r="O77" s="18" cm="1">
        <f t="array" ref="O77">SUMPRODUCT(M$20:M$275*COS(2*PI()*L77/L$19*L$20:L$275)+N$20:N$275*SIN(2*PI()*L77/L$19*L$20:L$275))</f>
        <v>-450.89539976286335</v>
      </c>
      <c r="P77" s="20" cm="1">
        <f t="array" ref="P77">SUMPRODUCT(N$20:N$275*COS(2*PI()*L76/L$19*L$20:L$275)+M$20:M$275*SIN(2*PI()*L77/L$19*L$20:L$275))</f>
        <v>-875.52313054715205</v>
      </c>
      <c r="R77" s="2">
        <f t="shared" si="13"/>
        <v>57</v>
      </c>
      <c r="S77" s="54">
        <f t="shared" si="26"/>
        <v>7959.9609375</v>
      </c>
      <c r="T77" s="28">
        <f t="shared" si="14"/>
        <v>3.8469074732442685</v>
      </c>
      <c r="V77" s="11">
        <f t="shared" si="15"/>
        <v>2834.8244324249854</v>
      </c>
    </row>
    <row r="78" spans="2:22" x14ac:dyDescent="0.35">
      <c r="B78" s="2">
        <f t="shared" si="23"/>
        <v>58</v>
      </c>
      <c r="C78" s="5" t="str">
        <f t="shared" si="8"/>
        <v/>
      </c>
      <c r="D78">
        <f t="shared" si="9"/>
        <v>206</v>
      </c>
      <c r="E78" s="5" t="str">
        <f t="shared" si="10"/>
        <v/>
      </c>
      <c r="F78" s="15">
        <f t="shared" si="0"/>
        <v>42436</v>
      </c>
      <c r="G78" s="2">
        <f t="shared" si="1"/>
        <v>58</v>
      </c>
      <c r="H78" s="45">
        <f t="shared" si="2"/>
        <v>4.6277446747227762</v>
      </c>
      <c r="I78" s="45">
        <f t="shared" si="11"/>
        <v>268.40919113392101</v>
      </c>
      <c r="J78" s="46">
        <f t="shared" si="12"/>
        <v>3364</v>
      </c>
      <c r="K78" s="2"/>
      <c r="L78" s="2">
        <f t="shared" si="3"/>
        <v>58</v>
      </c>
      <c r="M78" s="18">
        <f t="shared" si="4"/>
        <v>206</v>
      </c>
      <c r="N78" s="20">
        <v>0</v>
      </c>
      <c r="O78" s="18" cm="1">
        <f t="array" ref="O78">SUMPRODUCT(M$20:M$275*COS(2*PI()*L78/L$19*L$20:L$275)+N$20:N$275*SIN(2*PI()*L78/L$19*L$20:L$275))</f>
        <v>539.19380341615681</v>
      </c>
      <c r="P78" s="20" cm="1">
        <f t="array" ref="P78">SUMPRODUCT(N$20:N$275*COS(2*PI()*L77/L$19*L$20:L$275)+M$20:M$275*SIN(2*PI()*L78/L$19*L$20:L$275))</f>
        <v>-784.05082879155282</v>
      </c>
      <c r="R78" s="2">
        <f t="shared" si="13"/>
        <v>58</v>
      </c>
      <c r="S78" s="54">
        <f t="shared" si="26"/>
        <v>8099.609375</v>
      </c>
      <c r="T78" s="28">
        <f t="shared" si="14"/>
        <v>3.7170296616767318</v>
      </c>
      <c r="V78" s="11">
        <f t="shared" si="15"/>
        <v>2852.8530929071417</v>
      </c>
    </row>
    <row r="79" spans="2:22" x14ac:dyDescent="0.35">
      <c r="B79" s="2">
        <f t="shared" si="23"/>
        <v>59</v>
      </c>
      <c r="C79" s="5" t="str">
        <f t="shared" si="8"/>
        <v/>
      </c>
      <c r="D79">
        <f t="shared" si="9"/>
        <v>118</v>
      </c>
      <c r="E79" s="5" t="str">
        <f t="shared" si="10"/>
        <v/>
      </c>
      <c r="F79" s="15">
        <f t="shared" si="0"/>
        <v>13924</v>
      </c>
      <c r="G79" s="2">
        <f t="shared" si="1"/>
        <v>59</v>
      </c>
      <c r="H79" s="45">
        <f t="shared" si="2"/>
        <v>4.1437952038457668</v>
      </c>
      <c r="I79" s="45">
        <f t="shared" si="11"/>
        <v>244.48391702690023</v>
      </c>
      <c r="J79" s="46">
        <f t="shared" si="12"/>
        <v>3481</v>
      </c>
      <c r="K79" s="2"/>
      <c r="L79" s="2">
        <f t="shared" si="3"/>
        <v>59</v>
      </c>
      <c r="M79" s="18">
        <f t="shared" si="4"/>
        <v>118</v>
      </c>
      <c r="N79" s="20">
        <v>0</v>
      </c>
      <c r="O79" s="18" cm="1">
        <f t="array" ref="O79">SUMPRODUCT(M$20:M$275*COS(2*PI()*L79/L$19*L$20:L$275)+N$20:N$275*SIN(2*PI()*L79/L$19*L$20:L$275))</f>
        <v>947.12685012849136</v>
      </c>
      <c r="P79" s="20" cm="1">
        <f t="array" ref="P79">SUMPRODUCT(N$20:N$275*COS(2*PI()*L78/L$19*L$20:L$275)+M$20:M$275*SIN(2*PI()*L79/L$19*L$20:L$275))</f>
        <v>11.227372867597538</v>
      </c>
      <c r="R79" s="2">
        <f t="shared" si="13"/>
        <v>59</v>
      </c>
      <c r="S79" s="54">
        <f t="shared" si="26"/>
        <v>8239.2578125</v>
      </c>
      <c r="T79" s="28">
        <f t="shared" si="14"/>
        <v>3.6999741922165663</v>
      </c>
      <c r="V79" s="11">
        <f t="shared" si="15"/>
        <v>2870.5978819221427</v>
      </c>
    </row>
    <row r="80" spans="2:22" x14ac:dyDescent="0.35">
      <c r="B80" s="2">
        <f t="shared" si="23"/>
        <v>60</v>
      </c>
      <c r="C80" s="5" t="str">
        <f t="shared" si="8"/>
        <v/>
      </c>
      <c r="D80">
        <f t="shared" si="9"/>
        <v>54</v>
      </c>
      <c r="E80" s="5" t="str">
        <f t="shared" si="10"/>
        <v/>
      </c>
      <c r="F80" s="15">
        <f t="shared" si="0"/>
        <v>2916</v>
      </c>
      <c r="G80" s="2">
        <f t="shared" si="1"/>
        <v>60</v>
      </c>
      <c r="H80" s="45">
        <f t="shared" si="2"/>
        <v>3.4649364291217326</v>
      </c>
      <c r="I80" s="45">
        <f t="shared" si="11"/>
        <v>207.89618574730395</v>
      </c>
      <c r="J80" s="46">
        <f t="shared" si="12"/>
        <v>3600</v>
      </c>
      <c r="K80" s="2"/>
      <c r="L80" s="2">
        <f t="shared" si="3"/>
        <v>60</v>
      </c>
      <c r="M80" s="18">
        <f t="shared" si="4"/>
        <v>54</v>
      </c>
      <c r="N80" s="20">
        <v>0</v>
      </c>
      <c r="O80" s="18" cm="1">
        <f t="array" ref="O80">SUMPRODUCT(M$20:M$275*COS(2*PI()*L80/L$19*L$20:L$275)+N$20:N$275*SIN(2*PI()*L80/L$19*L$20:L$275))</f>
        <v>816.37659388816587</v>
      </c>
      <c r="P80" s="20" cm="1">
        <f t="array" ref="P80">SUMPRODUCT(N$20:N$275*COS(2*PI()*L79/L$19*L$20:L$275)+M$20:M$275*SIN(2*PI()*L80/L$19*L$20:L$275))</f>
        <v>443.36224074895881</v>
      </c>
      <c r="R80" s="2">
        <f t="shared" si="13"/>
        <v>60</v>
      </c>
      <c r="S80" s="54">
        <f t="shared" si="26"/>
        <v>8378.90625</v>
      </c>
      <c r="T80" s="28">
        <f t="shared" si="14"/>
        <v>3.6289058706656427</v>
      </c>
      <c r="V80" s="11">
        <f t="shared" si="15"/>
        <v>2888.0676005056584</v>
      </c>
    </row>
    <row r="81" spans="2:22" x14ac:dyDescent="0.35">
      <c r="B81" s="2">
        <f t="shared" si="23"/>
        <v>61</v>
      </c>
      <c r="C81" s="5" t="str">
        <f t="shared" si="8"/>
        <v/>
      </c>
      <c r="D81">
        <f t="shared" si="9"/>
        <v>-28</v>
      </c>
      <c r="E81" s="5">
        <f t="shared" si="10"/>
        <v>1</v>
      </c>
      <c r="F81" s="15">
        <f t="shared" si="0"/>
        <v>784</v>
      </c>
      <c r="G81" s="2">
        <f t="shared" si="1"/>
        <v>61</v>
      </c>
      <c r="H81" s="45">
        <f t="shared" si="2"/>
        <v>2.8948696567452528</v>
      </c>
      <c r="I81" s="45">
        <f t="shared" si="11"/>
        <v>176.58704906146042</v>
      </c>
      <c r="J81" s="46">
        <f t="shared" si="12"/>
        <v>3721</v>
      </c>
      <c r="K81" s="2"/>
      <c r="L81" s="2">
        <f t="shared" si="3"/>
        <v>61</v>
      </c>
      <c r="M81" s="18">
        <f t="shared" si="4"/>
        <v>-28</v>
      </c>
      <c r="N81" s="20">
        <v>0</v>
      </c>
      <c r="O81" s="18" cm="1">
        <f t="array" ref="O81">SUMPRODUCT(M$20:M$275*COS(2*PI()*L81/L$19*L$20:L$275)+N$20:N$275*SIN(2*PI()*L81/L$19*L$20:L$275))</f>
        <v>189.34190453946778</v>
      </c>
      <c r="P81" s="20" cm="1">
        <f t="array" ref="P81">SUMPRODUCT(N$20:N$275*COS(2*PI()*L80/L$19*L$20:L$275)+M$20:M$275*SIN(2*PI()*L81/L$19*L$20:L$275))</f>
        <v>780.26538616594189</v>
      </c>
      <c r="R81" s="2">
        <f t="shared" si="13"/>
        <v>61</v>
      </c>
      <c r="S81" s="54">
        <f t="shared" si="26"/>
        <v>8518.5546875</v>
      </c>
      <c r="T81" s="28">
        <f t="shared" si="14"/>
        <v>3.1363670940005504</v>
      </c>
      <c r="V81" s="11">
        <f t="shared" si="15"/>
        <v>2905.2706466378922</v>
      </c>
    </row>
    <row r="82" spans="2:22" x14ac:dyDescent="0.35">
      <c r="B82" s="2">
        <f t="shared" si="23"/>
        <v>62</v>
      </c>
      <c r="C82" s="5" t="str">
        <f t="shared" si="8"/>
        <v/>
      </c>
      <c r="D82">
        <f t="shared" si="9"/>
        <v>-134</v>
      </c>
      <c r="E82" s="5" t="str">
        <f t="shared" si="10"/>
        <v/>
      </c>
      <c r="F82" s="15">
        <f t="shared" si="0"/>
        <v>17956</v>
      </c>
      <c r="G82" s="2">
        <f t="shared" si="1"/>
        <v>62</v>
      </c>
      <c r="H82" s="45">
        <f t="shared" si="2"/>
        <v>4.2542337826501466</v>
      </c>
      <c r="I82" s="45">
        <f t="shared" si="11"/>
        <v>263.76249452430909</v>
      </c>
      <c r="J82" s="46">
        <f t="shared" si="12"/>
        <v>3844</v>
      </c>
      <c r="K82" s="2"/>
      <c r="L82" s="2">
        <f t="shared" si="3"/>
        <v>62</v>
      </c>
      <c r="M82" s="18">
        <f t="shared" si="4"/>
        <v>-134</v>
      </c>
      <c r="N82" s="20">
        <v>0</v>
      </c>
      <c r="O82" s="18" cm="1">
        <f t="array" ref="O82">SUMPRODUCT(M$20:M$275*COS(2*PI()*L82/L$19*L$20:L$275)+N$20:N$275*SIN(2*PI()*L82/L$19*L$20:L$275))</f>
        <v>58.140916937954934</v>
      </c>
      <c r="P82" s="20" cm="1">
        <f t="array" ref="P82">SUMPRODUCT(N$20:N$275*COS(2*PI()*L81/L$19*L$20:L$275)+M$20:M$275*SIN(2*PI()*L82/L$19*L$20:L$275))</f>
        <v>333.01152836730131</v>
      </c>
      <c r="R82" s="2">
        <f t="shared" si="13"/>
        <v>62</v>
      </c>
      <c r="S82" s="54">
        <f t="shared" si="26"/>
        <v>8658.203125</v>
      </c>
      <c r="T82" s="28">
        <f t="shared" si="14"/>
        <v>1.3205034315990509</v>
      </c>
      <c r="V82" s="11">
        <f t="shared" si="15"/>
        <v>2922.2150394852856</v>
      </c>
    </row>
    <row r="83" spans="2:22" x14ac:dyDescent="0.35">
      <c r="B83" s="2">
        <f t="shared" si="23"/>
        <v>63</v>
      </c>
      <c r="C83" s="5" t="str">
        <f t="shared" si="8"/>
        <v/>
      </c>
      <c r="D83">
        <f t="shared" si="9"/>
        <v>-204</v>
      </c>
      <c r="E83" s="5" t="str">
        <f t="shared" si="10"/>
        <v/>
      </c>
      <c r="F83" s="15">
        <f t="shared" si="0"/>
        <v>41616</v>
      </c>
      <c r="G83" s="2">
        <f t="shared" si="1"/>
        <v>63</v>
      </c>
      <c r="H83" s="45">
        <f t="shared" si="2"/>
        <v>4.6192707704838645</v>
      </c>
      <c r="I83" s="45">
        <f t="shared" si="11"/>
        <v>291.01405854048346</v>
      </c>
      <c r="J83" s="46">
        <f t="shared" si="12"/>
        <v>3969</v>
      </c>
      <c r="K83" s="2"/>
      <c r="L83" s="2">
        <f t="shared" si="3"/>
        <v>63</v>
      </c>
      <c r="M83" s="18">
        <f t="shared" si="4"/>
        <v>-204</v>
      </c>
      <c r="N83" s="20">
        <v>0</v>
      </c>
      <c r="O83" s="18" cm="1">
        <f t="array" ref="O83">SUMPRODUCT(M$20:M$275*COS(2*PI()*L83/L$19*L$20:L$275)+N$20:N$275*SIN(2*PI()*L83/L$19*L$20:L$275))</f>
        <v>124.79145371319434</v>
      </c>
      <c r="P83" s="20" cm="1">
        <f t="array" ref="P83">SUMPRODUCT(N$20:N$275*COS(2*PI()*L82/L$19*L$20:L$275)+M$20:M$275*SIN(2*PI()*L83/L$19*L$20:L$275))</f>
        <v>100.47080494993705</v>
      </c>
      <c r="R83" s="2">
        <f t="shared" si="13"/>
        <v>63</v>
      </c>
      <c r="S83" s="54">
        <f t="shared" si="26"/>
        <v>8797.8515625</v>
      </c>
      <c r="T83" s="28">
        <f t="shared" si="14"/>
        <v>0.62582086679105364</v>
      </c>
      <c r="V83" s="11">
        <f t="shared" si="15"/>
        <v>2938.9084418466714</v>
      </c>
    </row>
    <row r="84" spans="2:22" x14ac:dyDescent="0.35">
      <c r="B84" s="2">
        <f t="shared" si="23"/>
        <v>64</v>
      </c>
      <c r="C84" s="5" t="str">
        <f t="shared" si="8"/>
        <v/>
      </c>
      <c r="D84">
        <f t="shared" si="9"/>
        <v>-215</v>
      </c>
      <c r="E84" s="5" t="str">
        <f t="shared" si="10"/>
        <v/>
      </c>
      <c r="F84" s="15">
        <f t="shared" ref="F84:F147" si="27">D84*D84</f>
        <v>46225</v>
      </c>
      <c r="G84" s="2">
        <f t="shared" ref="G84:G147" si="28">B84</f>
        <v>64</v>
      </c>
      <c r="H84" s="45">
        <f t="shared" ref="H84:H147" si="29">LOG10(1 + F84)</f>
        <v>4.66488631495905</v>
      </c>
      <c r="I84" s="45">
        <f t="shared" si="11"/>
        <v>298.5527241573792</v>
      </c>
      <c r="J84" s="46">
        <f t="shared" si="12"/>
        <v>4096</v>
      </c>
      <c r="K84" s="2"/>
      <c r="L84" s="2">
        <f t="shared" ref="L84:L147" si="30">B84</f>
        <v>64</v>
      </c>
      <c r="M84" s="18">
        <f t="shared" ref="M84:M147" si="31">D84</f>
        <v>-215</v>
      </c>
      <c r="N84" s="20">
        <v>0</v>
      </c>
      <c r="O84" s="18" cm="1">
        <f t="array" ref="O84">SUMPRODUCT(M$20:M$275*COS(2*PI()*L84/L$19*L$20:L$275)+N$20:N$275*SIN(2*PI()*L84/L$19*L$20:L$275))</f>
        <v>151.99999999999639</v>
      </c>
      <c r="P84" s="20" cm="1">
        <f t="array" ref="P84">SUMPRODUCT(N$20:N$275*COS(2*PI()*L83/L$19*L$20:L$275)+M$20:M$275*SIN(2*PI()*L84/L$19*L$20:L$275))</f>
        <v>-48.000000000016911</v>
      </c>
      <c r="R84" s="2">
        <f t="shared" si="13"/>
        <v>64</v>
      </c>
      <c r="S84" s="54">
        <f t="shared" ref="S84:S115" si="32">R84*T$14/L$19</f>
        <v>8937.5</v>
      </c>
      <c r="T84" s="28">
        <f t="shared" si="14"/>
        <v>0.6226518389116088</v>
      </c>
      <c r="V84" s="11">
        <f t="shared" si="15"/>
        <v>2955.3581809611433</v>
      </c>
    </row>
    <row r="85" spans="2:22" x14ac:dyDescent="0.35">
      <c r="B85" s="2">
        <f t="shared" si="23"/>
        <v>65</v>
      </c>
      <c r="C85" s="5" t="str">
        <f t="shared" ref="C85:C148" si="33">IF(INT(B85/$T$14*1000) = INT(B84/$T$14*1000),"",B85/$T$14*1000)</f>
        <v/>
      </c>
      <c r="D85">
        <f t="shared" ref="D85:D148" si="34">INT(MID(A$3,FIND("#", SUBSTITUTE(A$3, ",", "#", B85)) + 1, FIND("#", SUBSTITUTE(A$3, ",", "#", B85+1)) - FIND("#", SUBSTITUTE(A$3, ",", "#", B85))-1))</f>
        <v>-231</v>
      </c>
      <c r="E85" s="5" t="str">
        <f t="shared" ref="E85:E148" si="35">IF(SIGN(D85)&lt;&gt;SIGN(D84),1,"")</f>
        <v/>
      </c>
      <c r="F85" s="15">
        <f t="shared" si="27"/>
        <v>53361</v>
      </c>
      <c r="G85" s="2">
        <f t="shared" si="28"/>
        <v>65</v>
      </c>
      <c r="H85" s="45">
        <f t="shared" si="29"/>
        <v>4.7272320985075611</v>
      </c>
      <c r="I85" s="45">
        <f t="shared" ref="I85:I148" si="36">G85*H85</f>
        <v>307.27008640299147</v>
      </c>
      <c r="J85" s="46">
        <f t="shared" ref="J85:J148" si="37">G85*G85</f>
        <v>4225</v>
      </c>
      <c r="K85" s="2"/>
      <c r="L85" s="2">
        <f t="shared" si="30"/>
        <v>65</v>
      </c>
      <c r="M85" s="18">
        <f t="shared" si="31"/>
        <v>-231</v>
      </c>
      <c r="N85" s="20">
        <v>0</v>
      </c>
      <c r="O85" s="18" cm="1">
        <f t="array" ref="O85">SUMPRODUCT(M$20:M$275*COS(2*PI()*L85/L$19*L$20:L$275)+N$20:N$275*SIN(2*PI()*L85/L$19*L$20:L$275))</f>
        <v>535.98144777926552</v>
      </c>
      <c r="P85" s="20" cm="1">
        <f t="array" ref="P85">SUMPRODUCT(N$20:N$275*COS(2*PI()*L84/L$19*L$20:L$275)+M$20:M$275*SIN(2*PI()*L85/L$19*L$20:L$275))</f>
        <v>59.273010669841916</v>
      </c>
      <c r="R85" s="2">
        <f t="shared" ref="R85:R148" si="38">L85</f>
        <v>65</v>
      </c>
      <c r="S85" s="54">
        <f t="shared" si="32"/>
        <v>9077.1484375</v>
      </c>
      <c r="T85" s="28">
        <f t="shared" ref="T85:T148" si="39">SQRT(O85*O85+P85*P85)/L$19</f>
        <v>2.106441109817843</v>
      </c>
      <c r="V85" s="11">
        <f t="shared" ref="V85:V148" si="40">2595*LOG10(1+S85/700)</f>
        <v>2971.5712678190625</v>
      </c>
    </row>
    <row r="86" spans="2:22" x14ac:dyDescent="0.35">
      <c r="B86" s="2">
        <f t="shared" si="23"/>
        <v>66</v>
      </c>
      <c r="C86" s="5" t="str">
        <f t="shared" si="33"/>
        <v/>
      </c>
      <c r="D86">
        <f t="shared" si="34"/>
        <v>-272</v>
      </c>
      <c r="E86" s="5" t="str">
        <f t="shared" si="35"/>
        <v/>
      </c>
      <c r="F86" s="15">
        <f t="shared" si="27"/>
        <v>73984</v>
      </c>
      <c r="G86" s="2">
        <f t="shared" si="28"/>
        <v>66</v>
      </c>
      <c r="H86" s="45">
        <f t="shared" si="29"/>
        <v>4.8691436781422901</v>
      </c>
      <c r="I86" s="45">
        <f t="shared" si="36"/>
        <v>321.36348275739113</v>
      </c>
      <c r="J86" s="46">
        <f t="shared" si="37"/>
        <v>4356</v>
      </c>
      <c r="K86" s="2"/>
      <c r="L86" s="2">
        <f t="shared" si="30"/>
        <v>66</v>
      </c>
      <c r="M86" s="18">
        <f t="shared" si="31"/>
        <v>-272</v>
      </c>
      <c r="N86" s="20">
        <v>0</v>
      </c>
      <c r="O86" s="18" cm="1">
        <f t="array" ref="O86">SUMPRODUCT(M$20:M$275*COS(2*PI()*L86/L$19*L$20:L$275)+N$20:N$275*SIN(2*PI()*L86/L$19*L$20:L$275))</f>
        <v>403.24313208668337</v>
      </c>
      <c r="P86" s="20" cm="1">
        <f t="array" ref="P86">SUMPRODUCT(N$20:N$275*COS(2*PI()*L85/L$19*L$20:L$275)+M$20:M$275*SIN(2*PI()*L86/L$19*L$20:L$275))</f>
        <v>304.6404843498733</v>
      </c>
      <c r="R86" s="2">
        <f t="shared" si="38"/>
        <v>66</v>
      </c>
      <c r="S86" s="54">
        <f t="shared" si="32"/>
        <v>9216.796875</v>
      </c>
      <c r="T86" s="28">
        <f t="shared" si="39"/>
        <v>1.9741479828469719</v>
      </c>
      <c r="V86" s="11">
        <f t="shared" si="40"/>
        <v>2987.5544151035929</v>
      </c>
    </row>
    <row r="87" spans="2:22" x14ac:dyDescent="0.35">
      <c r="B87" s="2">
        <f t="shared" si="23"/>
        <v>67</v>
      </c>
      <c r="C87" s="5" t="str">
        <f t="shared" si="33"/>
        <v/>
      </c>
      <c r="D87">
        <f t="shared" si="34"/>
        <v>-322</v>
      </c>
      <c r="E87" s="5" t="str">
        <f t="shared" si="35"/>
        <v/>
      </c>
      <c r="F87" s="15">
        <f t="shared" si="27"/>
        <v>103684</v>
      </c>
      <c r="G87" s="2">
        <f t="shared" si="28"/>
        <v>67</v>
      </c>
      <c r="H87" s="45">
        <f t="shared" si="29"/>
        <v>5.0157159320069509</v>
      </c>
      <c r="I87" s="45">
        <f t="shared" si="36"/>
        <v>336.05296744446571</v>
      </c>
      <c r="J87" s="46">
        <f t="shared" si="37"/>
        <v>4489</v>
      </c>
      <c r="K87" s="2"/>
      <c r="L87" s="2">
        <f t="shared" si="30"/>
        <v>67</v>
      </c>
      <c r="M87" s="18">
        <f t="shared" si="31"/>
        <v>-322</v>
      </c>
      <c r="N87" s="20">
        <v>0</v>
      </c>
      <c r="O87" s="18" cm="1">
        <f t="array" ref="O87">SUMPRODUCT(M$20:M$275*COS(2*PI()*L87/L$19*L$20:L$275)+N$20:N$275*SIN(2*PI()*L87/L$19*L$20:L$275))</f>
        <v>431.89974164280346</v>
      </c>
      <c r="P87" s="20" cm="1">
        <f t="array" ref="P87">SUMPRODUCT(N$20:N$275*COS(2*PI()*L86/L$19*L$20:L$275)+M$20:M$275*SIN(2*PI()*L87/L$19*L$20:L$275))</f>
        <v>543.16677853604722</v>
      </c>
      <c r="R87" s="2">
        <f t="shared" si="38"/>
        <v>67</v>
      </c>
      <c r="S87" s="54">
        <f t="shared" si="32"/>
        <v>9356.4453125</v>
      </c>
      <c r="T87" s="28">
        <f t="shared" si="39"/>
        <v>2.7107448152218936</v>
      </c>
      <c r="V87" s="11">
        <f t="shared" si="40"/>
        <v>3003.3140538776797</v>
      </c>
    </row>
    <row r="88" spans="2:22" x14ac:dyDescent="0.35">
      <c r="B88" s="2">
        <f t="shared" si="23"/>
        <v>68</v>
      </c>
      <c r="C88" s="5" t="str">
        <f t="shared" si="33"/>
        <v/>
      </c>
      <c r="D88">
        <f t="shared" si="34"/>
        <v>-300</v>
      </c>
      <c r="E88" s="5" t="str">
        <f t="shared" si="35"/>
        <v/>
      </c>
      <c r="F88" s="15">
        <f t="shared" si="27"/>
        <v>90000</v>
      </c>
      <c r="G88" s="2">
        <f t="shared" si="28"/>
        <v>68</v>
      </c>
      <c r="H88" s="45">
        <f t="shared" si="29"/>
        <v>4.9542473349067597</v>
      </c>
      <c r="I88" s="45">
        <f t="shared" si="36"/>
        <v>336.88881877365964</v>
      </c>
      <c r="J88" s="46">
        <f t="shared" si="37"/>
        <v>4624</v>
      </c>
      <c r="K88" s="2"/>
      <c r="L88" s="2">
        <f t="shared" si="30"/>
        <v>68</v>
      </c>
      <c r="M88" s="18">
        <f t="shared" si="31"/>
        <v>-300</v>
      </c>
      <c r="N88" s="20">
        <v>0</v>
      </c>
      <c r="O88" s="18" cm="1">
        <f t="array" ref="O88">SUMPRODUCT(M$20:M$275*COS(2*PI()*L88/L$19*L$20:L$275)+N$20:N$275*SIN(2*PI()*L88/L$19*L$20:L$275))</f>
        <v>223.48503517917828</v>
      </c>
      <c r="P88" s="20" cm="1">
        <f t="array" ref="P88">SUMPRODUCT(N$20:N$275*COS(2*PI()*L87/L$19*L$20:L$275)+M$20:M$275*SIN(2*PI()*L88/L$19*L$20:L$275))</f>
        <v>513.102662664072</v>
      </c>
      <c r="R88" s="2">
        <f t="shared" si="38"/>
        <v>68</v>
      </c>
      <c r="S88" s="54">
        <f t="shared" si="32"/>
        <v>9496.09375</v>
      </c>
      <c r="T88" s="28">
        <f t="shared" si="39"/>
        <v>2.1861739262653721</v>
      </c>
      <c r="V88" s="11">
        <f t="shared" si="40"/>
        <v>3018.8563491202817</v>
      </c>
    </row>
    <row r="89" spans="2:22" x14ac:dyDescent="0.35">
      <c r="B89" s="2">
        <f t="shared" si="23"/>
        <v>69</v>
      </c>
      <c r="C89" s="5" t="str">
        <f t="shared" si="33"/>
        <v/>
      </c>
      <c r="D89">
        <f t="shared" si="34"/>
        <v>-207</v>
      </c>
      <c r="E89" s="5" t="str">
        <f t="shared" si="35"/>
        <v/>
      </c>
      <c r="F89" s="15">
        <f t="shared" si="27"/>
        <v>42849</v>
      </c>
      <c r="G89" s="2">
        <f t="shared" si="28"/>
        <v>69</v>
      </c>
      <c r="H89" s="45">
        <f t="shared" si="29"/>
        <v>4.6319508262592173</v>
      </c>
      <c r="I89" s="45">
        <f t="shared" si="36"/>
        <v>319.604607011886</v>
      </c>
      <c r="J89" s="46">
        <f t="shared" si="37"/>
        <v>4761</v>
      </c>
      <c r="K89" s="2"/>
      <c r="L89" s="2">
        <f t="shared" si="30"/>
        <v>69</v>
      </c>
      <c r="M89" s="18">
        <f t="shared" si="31"/>
        <v>-207</v>
      </c>
      <c r="N89" s="20">
        <v>0</v>
      </c>
      <c r="O89" s="18" cm="1">
        <f t="array" ref="O89">SUMPRODUCT(M$20:M$275*COS(2*PI()*L89/L$19*L$20:L$275)+N$20:N$275*SIN(2*PI()*L89/L$19*L$20:L$275))</f>
        <v>-3.6778568496654849</v>
      </c>
      <c r="P89" s="20" cm="1">
        <f t="array" ref="P89">SUMPRODUCT(N$20:N$275*COS(2*PI()*L88/L$19*L$20:L$275)+M$20:M$275*SIN(2*PI()*L89/L$19*L$20:L$275))</f>
        <v>442.34583703242919</v>
      </c>
      <c r="R89" s="2">
        <f t="shared" si="38"/>
        <v>69</v>
      </c>
      <c r="S89" s="54">
        <f t="shared" si="32"/>
        <v>9635.7421875</v>
      </c>
      <c r="T89" s="28">
        <f t="shared" si="39"/>
        <v>1.7279731500929416</v>
      </c>
      <c r="V89" s="11">
        <f t="shared" si="40"/>
        <v>3034.1872142058078</v>
      </c>
    </row>
    <row r="90" spans="2:22" x14ac:dyDescent="0.35">
      <c r="B90" s="2">
        <f t="shared" si="23"/>
        <v>70</v>
      </c>
      <c r="C90" s="5" t="str">
        <f t="shared" si="33"/>
        <v/>
      </c>
      <c r="D90">
        <f t="shared" si="34"/>
        <v>-128</v>
      </c>
      <c r="E90" s="5" t="str">
        <f t="shared" si="35"/>
        <v/>
      </c>
      <c r="F90" s="15">
        <f t="shared" si="27"/>
        <v>16384</v>
      </c>
      <c r="G90" s="2">
        <f t="shared" si="28"/>
        <v>70</v>
      </c>
      <c r="H90" s="45">
        <f t="shared" si="29"/>
        <v>4.2144464457183943</v>
      </c>
      <c r="I90" s="45">
        <f t="shared" si="36"/>
        <v>295.01125120028757</v>
      </c>
      <c r="J90" s="46">
        <f t="shared" si="37"/>
        <v>4900</v>
      </c>
      <c r="K90" s="2"/>
      <c r="L90" s="2">
        <f t="shared" si="30"/>
        <v>70</v>
      </c>
      <c r="M90" s="18">
        <f t="shared" si="31"/>
        <v>-128</v>
      </c>
      <c r="N90" s="20">
        <v>0</v>
      </c>
      <c r="O90" s="18" cm="1">
        <f t="array" ref="O90">SUMPRODUCT(M$20:M$275*COS(2*PI()*L90/L$19*L$20:L$275)+N$20:N$275*SIN(2*PI()*L90/L$19*L$20:L$275))</f>
        <v>-87.755255086626718</v>
      </c>
      <c r="P90" s="20" cm="1">
        <f t="array" ref="P90">SUMPRODUCT(N$20:N$275*COS(2*PI()*L89/L$19*L$20:L$275)+M$20:M$275*SIN(2*PI()*L90/L$19*L$20:L$275))</f>
        <v>314.87227282350568</v>
      </c>
      <c r="R90" s="2">
        <f t="shared" si="38"/>
        <v>70</v>
      </c>
      <c r="S90" s="54">
        <f t="shared" si="32"/>
        <v>9775.390625</v>
      </c>
      <c r="T90" s="28">
        <f t="shared" si="39"/>
        <v>1.2768451159556344</v>
      </c>
      <c r="V90" s="11">
        <f t="shared" si="40"/>
        <v>3049.3123244118369</v>
      </c>
    </row>
    <row r="91" spans="2:22" x14ac:dyDescent="0.35">
      <c r="B91" s="2">
        <f t="shared" si="23"/>
        <v>71</v>
      </c>
      <c r="C91" s="5" t="str">
        <f t="shared" si="33"/>
        <v/>
      </c>
      <c r="D91">
        <f t="shared" si="34"/>
        <v>-134</v>
      </c>
      <c r="E91" s="5" t="str">
        <f t="shared" si="35"/>
        <v/>
      </c>
      <c r="F91" s="15">
        <f t="shared" si="27"/>
        <v>17956</v>
      </c>
      <c r="G91" s="2">
        <f t="shared" si="28"/>
        <v>71</v>
      </c>
      <c r="H91" s="45">
        <f t="shared" si="29"/>
        <v>4.2542337826501466</v>
      </c>
      <c r="I91" s="45">
        <f t="shared" si="36"/>
        <v>302.05059856816041</v>
      </c>
      <c r="J91" s="46">
        <f t="shared" si="37"/>
        <v>5041</v>
      </c>
      <c r="K91" s="2"/>
      <c r="L91" s="2">
        <f t="shared" si="30"/>
        <v>71</v>
      </c>
      <c r="M91" s="18">
        <f t="shared" si="31"/>
        <v>-134</v>
      </c>
      <c r="N91" s="20">
        <v>0</v>
      </c>
      <c r="O91" s="18" cm="1">
        <f t="array" ref="O91">SUMPRODUCT(M$20:M$275*COS(2*PI()*L91/L$19*L$20:L$275)+N$20:N$275*SIN(2*PI()*L91/L$19*L$20:L$275))</f>
        <v>105.44265376766811</v>
      </c>
      <c r="P91" s="20" cm="1">
        <f t="array" ref="P91">SUMPRODUCT(N$20:N$275*COS(2*PI()*L90/L$19*L$20:L$275)+M$20:M$275*SIN(2*PI()*L91/L$19*L$20:L$275))</f>
        <v>136.09651239738878</v>
      </c>
      <c r="R91" s="2">
        <f t="shared" si="38"/>
        <v>71</v>
      </c>
      <c r="S91" s="54">
        <f t="shared" si="32"/>
        <v>9915.0390625</v>
      </c>
      <c r="T91" s="28">
        <f t="shared" si="39"/>
        <v>0.67251529628333406</v>
      </c>
      <c r="V91" s="11">
        <f t="shared" si="40"/>
        <v>3064.2371295323742</v>
      </c>
    </row>
    <row r="92" spans="2:22" x14ac:dyDescent="0.35">
      <c r="B92" s="2">
        <f t="shared" si="23"/>
        <v>72</v>
      </c>
      <c r="C92" s="5">
        <f t="shared" si="33"/>
        <v>2.0139860139860137</v>
      </c>
      <c r="D92">
        <f t="shared" si="34"/>
        <v>-200</v>
      </c>
      <c r="E92" s="5" t="str">
        <f t="shared" si="35"/>
        <v/>
      </c>
      <c r="F92" s="15">
        <f t="shared" si="27"/>
        <v>40000</v>
      </c>
      <c r="G92" s="2">
        <f t="shared" si="28"/>
        <v>72</v>
      </c>
      <c r="H92" s="45">
        <f t="shared" si="29"/>
        <v>4.6020708485542956</v>
      </c>
      <c r="I92" s="45">
        <f t="shared" si="36"/>
        <v>331.3491010959093</v>
      </c>
      <c r="J92" s="46">
        <f t="shared" si="37"/>
        <v>5184</v>
      </c>
      <c r="K92" s="2"/>
      <c r="L92" s="2">
        <f t="shared" si="30"/>
        <v>72</v>
      </c>
      <c r="M92" s="18">
        <f t="shared" si="31"/>
        <v>-200</v>
      </c>
      <c r="N92" s="20">
        <v>0</v>
      </c>
      <c r="O92" s="18" cm="1">
        <f t="array" ref="O92">SUMPRODUCT(M$20:M$275*COS(2*PI()*L92/L$19*L$20:L$275)+N$20:N$275*SIN(2*PI()*L92/L$19*L$20:L$275))</f>
        <v>258.50145351009996</v>
      </c>
      <c r="P92" s="20" cm="1">
        <f t="array" ref="P92">SUMPRODUCT(N$20:N$275*COS(2*PI()*L91/L$19*L$20:L$275)+M$20:M$275*SIN(2*PI()*L92/L$19*L$20:L$275))</f>
        <v>167.0134550506684</v>
      </c>
      <c r="R92" s="2">
        <f t="shared" si="38"/>
        <v>72</v>
      </c>
      <c r="S92" s="54">
        <f t="shared" si="32"/>
        <v>10054.6875</v>
      </c>
      <c r="T92" s="28">
        <f t="shared" si="39"/>
        <v>1.20218926447983</v>
      </c>
      <c r="V92" s="11">
        <f t="shared" si="40"/>
        <v>3078.9668656667545</v>
      </c>
    </row>
    <row r="93" spans="2:22" x14ac:dyDescent="0.35">
      <c r="B93" s="2">
        <f t="shared" si="23"/>
        <v>73</v>
      </c>
      <c r="C93" s="5" t="str">
        <f t="shared" si="33"/>
        <v/>
      </c>
      <c r="D93">
        <f t="shared" si="34"/>
        <v>-244</v>
      </c>
      <c r="E93" s="5" t="str">
        <f t="shared" si="35"/>
        <v/>
      </c>
      <c r="F93" s="15">
        <f t="shared" si="27"/>
        <v>59536</v>
      </c>
      <c r="G93" s="2">
        <f t="shared" si="28"/>
        <v>73</v>
      </c>
      <c r="H93" s="45">
        <f t="shared" si="29"/>
        <v>4.7747869472695479</v>
      </c>
      <c r="I93" s="45">
        <f t="shared" si="36"/>
        <v>348.55944715067699</v>
      </c>
      <c r="J93" s="46">
        <f t="shared" si="37"/>
        <v>5329</v>
      </c>
      <c r="K93" s="2"/>
      <c r="L93" s="2">
        <f t="shared" si="30"/>
        <v>73</v>
      </c>
      <c r="M93" s="18">
        <f t="shared" si="31"/>
        <v>-244</v>
      </c>
      <c r="N93" s="20">
        <v>0</v>
      </c>
      <c r="O93" s="18" cm="1">
        <f t="array" ref="O93">SUMPRODUCT(M$20:M$275*COS(2*PI()*L93/L$19*L$20:L$275)+N$20:N$275*SIN(2*PI()*L93/L$19*L$20:L$275))</f>
        <v>200.90972497614919</v>
      </c>
      <c r="P93" s="20" cm="1">
        <f t="array" ref="P93">SUMPRODUCT(N$20:N$275*COS(2*PI()*L92/L$19*L$20:L$275)+M$20:M$275*SIN(2*PI()*L93/L$19*L$20:L$275))</f>
        <v>212.38863645815724</v>
      </c>
      <c r="R93" s="2">
        <f t="shared" si="38"/>
        <v>73</v>
      </c>
      <c r="S93" s="54">
        <f t="shared" si="32"/>
        <v>10194.3359375</v>
      </c>
      <c r="T93" s="28">
        <f t="shared" si="39"/>
        <v>1.1420264459179892</v>
      </c>
      <c r="V93" s="11">
        <f t="shared" si="40"/>
        <v>3093.5065662480451</v>
      </c>
    </row>
    <row r="94" spans="2:22" x14ac:dyDescent="0.35">
      <c r="B94" s="2">
        <f t="shared" si="23"/>
        <v>74</v>
      </c>
      <c r="C94" s="5" t="str">
        <f t="shared" si="33"/>
        <v/>
      </c>
      <c r="D94">
        <f t="shared" si="34"/>
        <v>-247</v>
      </c>
      <c r="E94" s="5" t="str">
        <f t="shared" si="35"/>
        <v/>
      </c>
      <c r="F94" s="15">
        <f t="shared" si="27"/>
        <v>61009</v>
      </c>
      <c r="G94" s="2">
        <f t="shared" si="28"/>
        <v>74</v>
      </c>
      <c r="H94" s="45">
        <f t="shared" si="29"/>
        <v>4.785401024992388</v>
      </c>
      <c r="I94" s="45">
        <f t="shared" si="36"/>
        <v>354.1196758494367</v>
      </c>
      <c r="J94" s="46">
        <f t="shared" si="37"/>
        <v>5476</v>
      </c>
      <c r="K94" s="2"/>
      <c r="L94" s="2">
        <f t="shared" si="30"/>
        <v>74</v>
      </c>
      <c r="M94" s="18">
        <f t="shared" si="31"/>
        <v>-247</v>
      </c>
      <c r="N94" s="20">
        <v>0</v>
      </c>
      <c r="O94" s="18" cm="1">
        <f t="array" ref="O94">SUMPRODUCT(M$20:M$275*COS(2*PI()*L94/L$19*L$20:L$275)+N$20:N$275*SIN(2*PI()*L94/L$19*L$20:L$275))</f>
        <v>225.27660760975525</v>
      </c>
      <c r="P94" s="20" cm="1">
        <f t="array" ref="P94">SUMPRODUCT(N$20:N$275*COS(2*PI()*L93/L$19*L$20:L$275)+M$20:M$275*SIN(2*PI()*L94/L$19*L$20:L$275))</f>
        <v>244.72064068955245</v>
      </c>
      <c r="R94" s="2">
        <f t="shared" si="38"/>
        <v>74</v>
      </c>
      <c r="S94" s="54">
        <f t="shared" si="32"/>
        <v>10333.984375</v>
      </c>
      <c r="T94" s="28">
        <f t="shared" si="39"/>
        <v>1.2993067252355934</v>
      </c>
      <c r="V94" s="11">
        <f t="shared" si="40"/>
        <v>3107.8610723690499</v>
      </c>
    </row>
    <row r="95" spans="2:22" x14ac:dyDescent="0.35">
      <c r="B95" s="2">
        <f t="shared" si="23"/>
        <v>75</v>
      </c>
      <c r="C95" s="5" t="str">
        <f t="shared" si="33"/>
        <v/>
      </c>
      <c r="D95">
        <f t="shared" si="34"/>
        <v>-224</v>
      </c>
      <c r="E95" s="5" t="str">
        <f t="shared" si="35"/>
        <v/>
      </c>
      <c r="F95" s="15">
        <f t="shared" si="27"/>
        <v>50176</v>
      </c>
      <c r="G95" s="2">
        <f t="shared" si="28"/>
        <v>75</v>
      </c>
      <c r="H95" s="45">
        <f t="shared" si="29"/>
        <v>4.7005046920046265</v>
      </c>
      <c r="I95" s="45">
        <f t="shared" si="36"/>
        <v>352.53785190034699</v>
      </c>
      <c r="J95" s="46">
        <f t="shared" si="37"/>
        <v>5625</v>
      </c>
      <c r="K95" s="2"/>
      <c r="L95" s="2">
        <f t="shared" si="30"/>
        <v>75</v>
      </c>
      <c r="M95" s="18">
        <f t="shared" si="31"/>
        <v>-224</v>
      </c>
      <c r="N95" s="20">
        <v>0</v>
      </c>
      <c r="O95" s="18" cm="1">
        <f t="array" ref="O95">SUMPRODUCT(M$20:M$275*COS(2*PI()*L95/L$19*L$20:L$275)+N$20:N$275*SIN(2*PI()*L95/L$19*L$20:L$275))</f>
        <v>99.175592232256619</v>
      </c>
      <c r="P95" s="20" cm="1">
        <f t="array" ref="P95">SUMPRODUCT(N$20:N$275*COS(2*PI()*L94/L$19*L$20:L$275)+M$20:M$275*SIN(2*PI()*L95/L$19*L$20:L$275))</f>
        <v>141.85208716521862</v>
      </c>
      <c r="R95" s="2">
        <f t="shared" si="38"/>
        <v>75</v>
      </c>
      <c r="S95" s="54">
        <f t="shared" si="32"/>
        <v>10473.6328125</v>
      </c>
      <c r="T95" s="28">
        <f t="shared" si="39"/>
        <v>0.67610645995033847</v>
      </c>
      <c r="V95" s="11">
        <f t="shared" si="40"/>
        <v>3122.0350424589246</v>
      </c>
    </row>
    <row r="96" spans="2:22" x14ac:dyDescent="0.35">
      <c r="B96" s="2">
        <f t="shared" si="23"/>
        <v>76</v>
      </c>
      <c r="C96" s="5" t="str">
        <f t="shared" si="33"/>
        <v/>
      </c>
      <c r="D96">
        <f t="shared" si="34"/>
        <v>-186</v>
      </c>
      <c r="E96" s="5" t="str">
        <f t="shared" si="35"/>
        <v/>
      </c>
      <c r="F96" s="15">
        <f t="shared" si="27"/>
        <v>34596</v>
      </c>
      <c r="G96" s="2">
        <f t="shared" si="28"/>
        <v>76</v>
      </c>
      <c r="H96" s="45">
        <f t="shared" si="29"/>
        <v>4.5390384415692981</v>
      </c>
      <c r="I96" s="45">
        <f t="shared" si="36"/>
        <v>344.96692155926667</v>
      </c>
      <c r="J96" s="46">
        <f t="shared" si="37"/>
        <v>5776</v>
      </c>
      <c r="K96" s="2"/>
      <c r="L96" s="2">
        <f t="shared" si="30"/>
        <v>76</v>
      </c>
      <c r="M96" s="18">
        <f t="shared" si="31"/>
        <v>-186</v>
      </c>
      <c r="N96" s="20">
        <v>0</v>
      </c>
      <c r="O96" s="18" cm="1">
        <f t="array" ref="O96">SUMPRODUCT(M$20:M$275*COS(2*PI()*L96/L$19*L$20:L$275)+N$20:N$275*SIN(2*PI()*L96/L$19*L$20:L$275))</f>
        <v>160.85942147594321</v>
      </c>
      <c r="P96" s="20" cm="1">
        <f t="array" ref="P96">SUMPRODUCT(N$20:N$275*COS(2*PI()*L95/L$19*L$20:L$275)+M$20:M$275*SIN(2*PI()*L96/L$19*L$20:L$275))</f>
        <v>-6.625839805434639</v>
      </c>
      <c r="R96" s="2">
        <f t="shared" si="38"/>
        <v>76</v>
      </c>
      <c r="S96" s="54">
        <f t="shared" si="32"/>
        <v>10613.28125</v>
      </c>
      <c r="T96" s="28">
        <f t="shared" si="39"/>
        <v>0.62888993610807054</v>
      </c>
      <c r="V96" s="11">
        <f t="shared" si="40"/>
        <v>3136.0329613588146</v>
      </c>
    </row>
    <row r="97" spans="2:22" x14ac:dyDescent="0.35">
      <c r="B97" s="2">
        <f t="shared" si="23"/>
        <v>77</v>
      </c>
      <c r="C97" s="5" t="str">
        <f t="shared" si="33"/>
        <v/>
      </c>
      <c r="D97">
        <f t="shared" si="34"/>
        <v>-124</v>
      </c>
      <c r="E97" s="5" t="str">
        <f t="shared" si="35"/>
        <v/>
      </c>
      <c r="F97" s="15">
        <f t="shared" si="27"/>
        <v>15376</v>
      </c>
      <c r="G97" s="2">
        <f t="shared" si="28"/>
        <v>77</v>
      </c>
      <c r="H97" s="45">
        <f t="shared" si="29"/>
        <v>4.1868716143645353</v>
      </c>
      <c r="I97" s="45">
        <f t="shared" si="36"/>
        <v>322.38911430606919</v>
      </c>
      <c r="J97" s="46">
        <f t="shared" si="37"/>
        <v>5929</v>
      </c>
      <c r="K97" s="2"/>
      <c r="L97" s="2">
        <f t="shared" si="30"/>
        <v>77</v>
      </c>
      <c r="M97" s="18">
        <f t="shared" si="31"/>
        <v>-124</v>
      </c>
      <c r="N97" s="20">
        <v>0</v>
      </c>
      <c r="O97" s="18" cm="1">
        <f t="array" ref="O97">SUMPRODUCT(M$20:M$275*COS(2*PI()*L97/L$19*L$20:L$275)+N$20:N$275*SIN(2*PI()*L97/L$19*L$20:L$275))</f>
        <v>293.87268394967356</v>
      </c>
      <c r="P97" s="20" cm="1">
        <f t="array" ref="P97">SUMPRODUCT(N$20:N$275*COS(2*PI()*L96/L$19*L$20:L$275)+M$20:M$275*SIN(2*PI()*L97/L$19*L$20:L$275))</f>
        <v>70.569584356811191</v>
      </c>
      <c r="R97" s="2">
        <f t="shared" si="38"/>
        <v>77</v>
      </c>
      <c r="S97" s="54">
        <f t="shared" si="32"/>
        <v>10752.9296875</v>
      </c>
      <c r="T97" s="28">
        <f t="shared" si="39"/>
        <v>1.1805746134700412</v>
      </c>
      <c r="V97" s="11">
        <f t="shared" si="40"/>
        <v>3149.8591488407451</v>
      </c>
    </row>
    <row r="98" spans="2:22" x14ac:dyDescent="0.35">
      <c r="B98" s="2">
        <f t="shared" ref="B98:B161" si="41">B97+1</f>
        <v>78</v>
      </c>
      <c r="C98" s="5" t="str">
        <f t="shared" si="33"/>
        <v/>
      </c>
      <c r="D98">
        <f t="shared" si="34"/>
        <v>-16</v>
      </c>
      <c r="E98" s="5" t="str">
        <f t="shared" si="35"/>
        <v/>
      </c>
      <c r="F98" s="15">
        <f t="shared" si="27"/>
        <v>256</v>
      </c>
      <c r="G98" s="2">
        <f t="shared" si="28"/>
        <v>78</v>
      </c>
      <c r="H98" s="45">
        <f t="shared" si="29"/>
        <v>2.4099331233312946</v>
      </c>
      <c r="I98" s="45">
        <f t="shared" si="36"/>
        <v>187.97478361984099</v>
      </c>
      <c r="J98" s="46">
        <f t="shared" si="37"/>
        <v>6084</v>
      </c>
      <c r="K98" s="2"/>
      <c r="L98" s="2">
        <f t="shared" si="30"/>
        <v>78</v>
      </c>
      <c r="M98" s="18">
        <f t="shared" si="31"/>
        <v>-16</v>
      </c>
      <c r="N98" s="20">
        <v>0</v>
      </c>
      <c r="O98" s="18" cm="1">
        <f t="array" ref="O98">SUMPRODUCT(M$20:M$275*COS(2*PI()*L98/L$19*L$20:L$275)+N$20:N$275*SIN(2*PI()*L98/L$19*L$20:L$275))</f>
        <v>381.25827715402465</v>
      </c>
      <c r="P98" s="20" cm="1">
        <f t="array" ref="P98">SUMPRODUCT(N$20:N$275*COS(2*PI()*L97/L$19*L$20:L$275)+M$20:M$275*SIN(2*PI()*L98/L$19*L$20:L$275))</f>
        <v>123.79711371866081</v>
      </c>
      <c r="R98" s="2">
        <f t="shared" si="38"/>
        <v>78</v>
      </c>
      <c r="S98" s="54">
        <f t="shared" si="32"/>
        <v>10892.578125</v>
      </c>
      <c r="T98" s="28">
        <f t="shared" si="39"/>
        <v>1.5658343293482313</v>
      </c>
      <c r="V98" s="11">
        <f t="shared" si="40"/>
        <v>3163.5177676102498</v>
      </c>
    </row>
    <row r="99" spans="2:22" x14ac:dyDescent="0.35">
      <c r="B99" s="2">
        <f t="shared" si="41"/>
        <v>79</v>
      </c>
      <c r="C99" s="5" t="str">
        <f t="shared" si="33"/>
        <v/>
      </c>
      <c r="D99">
        <f t="shared" si="34"/>
        <v>98</v>
      </c>
      <c r="E99" s="5">
        <f t="shared" si="35"/>
        <v>1</v>
      </c>
      <c r="F99" s="15">
        <f t="shared" si="27"/>
        <v>9604</v>
      </c>
      <c r="G99" s="2">
        <f t="shared" si="28"/>
        <v>79</v>
      </c>
      <c r="H99" s="45">
        <f t="shared" si="29"/>
        <v>3.9824973691977124</v>
      </c>
      <c r="I99" s="45">
        <f t="shared" si="36"/>
        <v>314.61729216661928</v>
      </c>
      <c r="J99" s="46">
        <f t="shared" si="37"/>
        <v>6241</v>
      </c>
      <c r="K99" s="2"/>
      <c r="L99" s="2">
        <f t="shared" si="30"/>
        <v>79</v>
      </c>
      <c r="M99" s="18">
        <f t="shared" si="31"/>
        <v>98</v>
      </c>
      <c r="N99" s="20">
        <v>0</v>
      </c>
      <c r="O99" s="18" cm="1">
        <f t="array" ref="O99">SUMPRODUCT(M$20:M$275*COS(2*PI()*L99/L$19*L$20:L$275)+N$20:N$275*SIN(2*PI()*L99/L$19*L$20:L$275))</f>
        <v>316.86788035841511</v>
      </c>
      <c r="P99" s="20" cm="1">
        <f t="array" ref="P99">SUMPRODUCT(N$20:N$275*COS(2*PI()*L98/L$19*L$20:L$275)+M$20:M$275*SIN(2*PI()*L99/L$19*L$20:L$275))</f>
        <v>147.00005072524885</v>
      </c>
      <c r="R99" s="2">
        <f t="shared" si="38"/>
        <v>79</v>
      </c>
      <c r="S99" s="54">
        <f t="shared" si="32"/>
        <v>11032.2265625</v>
      </c>
      <c r="T99" s="28">
        <f t="shared" si="39"/>
        <v>1.3644742525609648</v>
      </c>
      <c r="V99" s="11">
        <f t="shared" si="40"/>
        <v>3177.0128308298422</v>
      </c>
    </row>
    <row r="100" spans="2:22" x14ac:dyDescent="0.35">
      <c r="B100" s="2">
        <f t="shared" si="41"/>
        <v>80</v>
      </c>
      <c r="C100" s="5" t="str">
        <f t="shared" si="33"/>
        <v/>
      </c>
      <c r="D100">
        <f t="shared" si="34"/>
        <v>167</v>
      </c>
      <c r="E100" s="5" t="str">
        <f t="shared" si="35"/>
        <v/>
      </c>
      <c r="F100" s="15">
        <f t="shared" si="27"/>
        <v>27889</v>
      </c>
      <c r="G100" s="2">
        <f t="shared" si="28"/>
        <v>80</v>
      </c>
      <c r="H100" s="45">
        <f t="shared" si="29"/>
        <v>4.44544851426605</v>
      </c>
      <c r="I100" s="45">
        <f t="shared" si="36"/>
        <v>355.63588114128402</v>
      </c>
      <c r="J100" s="46">
        <f t="shared" si="37"/>
        <v>6400</v>
      </c>
      <c r="K100" s="2"/>
      <c r="L100" s="2">
        <f t="shared" si="30"/>
        <v>80</v>
      </c>
      <c r="M100" s="18">
        <f t="shared" si="31"/>
        <v>167</v>
      </c>
      <c r="N100" s="20">
        <v>0</v>
      </c>
      <c r="O100" s="18" cm="1">
        <f t="array" ref="O100">SUMPRODUCT(M$20:M$275*COS(2*PI()*L100/L$19*L$20:L$275)+N$20:N$275*SIN(2*PI()*L100/L$19*L$20:L$275))</f>
        <v>271.17440981370771</v>
      </c>
      <c r="P100" s="20" cm="1">
        <f t="array" ref="P100">SUMPRODUCT(N$20:N$275*COS(2*PI()*L99/L$19*L$20:L$275)+M$20:M$275*SIN(2*PI()*L100/L$19*L$20:L$275))</f>
        <v>151.77162609514122</v>
      </c>
      <c r="R100" s="2">
        <f t="shared" si="38"/>
        <v>80</v>
      </c>
      <c r="S100" s="54">
        <f t="shared" si="32"/>
        <v>11171.875</v>
      </c>
      <c r="T100" s="28">
        <f t="shared" si="39"/>
        <v>1.2138962532055149</v>
      </c>
      <c r="V100" s="11">
        <f t="shared" si="40"/>
        <v>3190.3482091973469</v>
      </c>
    </row>
    <row r="101" spans="2:22" x14ac:dyDescent="0.35">
      <c r="B101" s="2">
        <f t="shared" si="41"/>
        <v>81</v>
      </c>
      <c r="C101" s="5" t="str">
        <f t="shared" si="33"/>
        <v/>
      </c>
      <c r="D101">
        <f t="shared" si="34"/>
        <v>202</v>
      </c>
      <c r="E101" s="5" t="str">
        <f t="shared" si="35"/>
        <v/>
      </c>
      <c r="F101" s="15">
        <f t="shared" si="27"/>
        <v>40804</v>
      </c>
      <c r="G101" s="2">
        <f t="shared" si="28"/>
        <v>81</v>
      </c>
      <c r="H101" s="45">
        <f t="shared" si="29"/>
        <v>4.6107133821919506</v>
      </c>
      <c r="I101" s="45">
        <f t="shared" si="36"/>
        <v>373.46778395754802</v>
      </c>
      <c r="J101" s="46">
        <f t="shared" si="37"/>
        <v>6561</v>
      </c>
      <c r="K101" s="2"/>
      <c r="L101" s="2">
        <f t="shared" si="30"/>
        <v>81</v>
      </c>
      <c r="M101" s="18">
        <f t="shared" si="31"/>
        <v>202</v>
      </c>
      <c r="N101" s="20">
        <v>0</v>
      </c>
      <c r="O101" s="18" cm="1">
        <f t="array" ref="O101">SUMPRODUCT(M$20:M$275*COS(2*PI()*L101/L$19*L$20:L$275)+N$20:N$275*SIN(2*PI()*L101/L$19*L$20:L$275))</f>
        <v>210.37580044091982</v>
      </c>
      <c r="P101" s="20" cm="1">
        <f t="array" ref="P101">SUMPRODUCT(N$20:N$275*COS(2*PI()*L100/L$19*L$20:L$275)+M$20:M$275*SIN(2*PI()*L101/L$19*L$20:L$275))</f>
        <v>188.51913947600667</v>
      </c>
      <c r="R101" s="2">
        <f t="shared" si="38"/>
        <v>81</v>
      </c>
      <c r="S101" s="54">
        <f t="shared" si="32"/>
        <v>11311.5234375</v>
      </c>
      <c r="T101" s="28">
        <f t="shared" si="39"/>
        <v>1.1034547367046781</v>
      </c>
      <c r="V101" s="11">
        <f t="shared" si="40"/>
        <v>3203.5276376103161</v>
      </c>
    </row>
    <row r="102" spans="2:22" x14ac:dyDescent="0.35">
      <c r="B102" s="2">
        <f t="shared" si="41"/>
        <v>82</v>
      </c>
      <c r="C102" s="5" t="str">
        <f t="shared" si="33"/>
        <v/>
      </c>
      <c r="D102">
        <f t="shared" si="34"/>
        <v>230</v>
      </c>
      <c r="E102" s="5" t="str">
        <f t="shared" si="35"/>
        <v/>
      </c>
      <c r="F102" s="15">
        <f t="shared" si="27"/>
        <v>52900</v>
      </c>
      <c r="G102" s="2">
        <f t="shared" si="28"/>
        <v>82</v>
      </c>
      <c r="H102" s="45">
        <f t="shared" si="29"/>
        <v>4.7234638816831458</v>
      </c>
      <c r="I102" s="45">
        <f t="shared" si="36"/>
        <v>387.32403829801797</v>
      </c>
      <c r="J102" s="46">
        <f t="shared" si="37"/>
        <v>6724</v>
      </c>
      <c r="K102" s="2"/>
      <c r="L102" s="2">
        <f t="shared" si="30"/>
        <v>82</v>
      </c>
      <c r="M102" s="18">
        <f t="shared" si="31"/>
        <v>230</v>
      </c>
      <c r="N102" s="20">
        <v>0</v>
      </c>
      <c r="O102" s="18" cm="1">
        <f t="array" ref="O102">SUMPRODUCT(M$20:M$275*COS(2*PI()*L102/L$19*L$20:L$275)+N$20:N$275*SIN(2*PI()*L102/L$19*L$20:L$275))</f>
        <v>209.66044096880262</v>
      </c>
      <c r="P102" s="20" cm="1">
        <f t="array" ref="P102">SUMPRODUCT(N$20:N$275*COS(2*PI()*L101/L$19*L$20:L$275)+M$20:M$275*SIN(2*PI()*L102/L$19*L$20:L$275))</f>
        <v>155.16053013849785</v>
      </c>
      <c r="R102" s="2">
        <f t="shared" si="38"/>
        <v>82</v>
      </c>
      <c r="S102" s="54">
        <f t="shared" si="32"/>
        <v>11451.171875</v>
      </c>
      <c r="T102" s="28">
        <f t="shared" si="39"/>
        <v>1.0188672003802499</v>
      </c>
      <c r="V102" s="11">
        <f t="shared" si="40"/>
        <v>3216.5547214452613</v>
      </c>
    </row>
    <row r="103" spans="2:22" x14ac:dyDescent="0.35">
      <c r="B103" s="2">
        <f t="shared" si="41"/>
        <v>83</v>
      </c>
      <c r="C103" s="5" t="str">
        <f t="shared" si="33"/>
        <v/>
      </c>
      <c r="D103">
        <f t="shared" si="34"/>
        <v>281</v>
      </c>
      <c r="E103" s="5" t="str">
        <f t="shared" si="35"/>
        <v/>
      </c>
      <c r="F103" s="15">
        <f t="shared" si="27"/>
        <v>78961</v>
      </c>
      <c r="G103" s="2">
        <f t="shared" si="28"/>
        <v>83</v>
      </c>
      <c r="H103" s="45">
        <f t="shared" si="29"/>
        <v>4.8974181398890835</v>
      </c>
      <c r="I103" s="45">
        <f t="shared" si="36"/>
        <v>406.48570561079396</v>
      </c>
      <c r="J103" s="46">
        <f t="shared" si="37"/>
        <v>6889</v>
      </c>
      <c r="K103" s="2"/>
      <c r="L103" s="2">
        <f t="shared" si="30"/>
        <v>83</v>
      </c>
      <c r="M103" s="18">
        <f t="shared" si="31"/>
        <v>281</v>
      </c>
      <c r="N103" s="20">
        <v>0</v>
      </c>
      <c r="O103" s="18" cm="1">
        <f t="array" ref="O103">SUMPRODUCT(M$20:M$275*COS(2*PI()*L103/L$19*L$20:L$275)+N$20:N$275*SIN(2*PI()*L103/L$19*L$20:L$275))</f>
        <v>255.10546983396227</v>
      </c>
      <c r="P103" s="20" cm="1">
        <f t="array" ref="P103">SUMPRODUCT(N$20:N$275*COS(2*PI()*L102/L$19*L$20:L$275)+M$20:M$275*SIN(2*PI()*L103/L$19*L$20:L$275))</f>
        <v>140.14992966369689</v>
      </c>
      <c r="R103" s="2">
        <f t="shared" si="38"/>
        <v>83</v>
      </c>
      <c r="S103" s="54">
        <f t="shared" si="32"/>
        <v>11590.8203125</v>
      </c>
      <c r="T103" s="28">
        <f t="shared" si="39"/>
        <v>1.1369858707026206</v>
      </c>
      <c r="V103" s="11">
        <f t="shared" si="40"/>
        <v>3229.432942478089</v>
      </c>
    </row>
    <row r="104" spans="2:22" x14ac:dyDescent="0.35">
      <c r="B104" s="2">
        <f t="shared" si="41"/>
        <v>84</v>
      </c>
      <c r="C104" s="5" t="str">
        <f t="shared" si="33"/>
        <v/>
      </c>
      <c r="D104">
        <f t="shared" si="34"/>
        <v>334</v>
      </c>
      <c r="E104" s="5" t="str">
        <f t="shared" si="35"/>
        <v/>
      </c>
      <c r="F104" s="15">
        <f t="shared" si="27"/>
        <v>111556</v>
      </c>
      <c r="G104" s="2">
        <f t="shared" si="28"/>
        <v>84</v>
      </c>
      <c r="H104" s="45">
        <f t="shared" si="29"/>
        <v>5.047496826668195</v>
      </c>
      <c r="I104" s="45">
        <f t="shared" si="36"/>
        <v>423.98973344012836</v>
      </c>
      <c r="J104" s="46">
        <f t="shared" si="37"/>
        <v>7056</v>
      </c>
      <c r="K104" s="2"/>
      <c r="L104" s="2">
        <f t="shared" si="30"/>
        <v>84</v>
      </c>
      <c r="M104" s="18">
        <f t="shared" si="31"/>
        <v>334</v>
      </c>
      <c r="N104" s="20">
        <v>0</v>
      </c>
      <c r="O104" s="18" cm="1">
        <f t="array" ref="O104">SUMPRODUCT(M$20:M$275*COS(2*PI()*L104/L$19*L$20:L$275)+N$20:N$275*SIN(2*PI()*L104/L$19*L$20:L$275))</f>
        <v>233.39805035097186</v>
      </c>
      <c r="P104" s="20" cm="1">
        <f t="array" ref="P104">SUMPRODUCT(N$20:N$275*COS(2*PI()*L103/L$19*L$20:L$275)+M$20:M$275*SIN(2*PI()*L104/L$19*L$20:L$275))</f>
        <v>176.61059923280666</v>
      </c>
      <c r="R104" s="2">
        <f t="shared" si="38"/>
        <v>84</v>
      </c>
      <c r="S104" s="54">
        <f t="shared" si="32"/>
        <v>11730.46875</v>
      </c>
      <c r="T104" s="28">
        <f t="shared" si="39"/>
        <v>1.1433104201717301</v>
      </c>
      <c r="V104" s="11">
        <f t="shared" si="40"/>
        <v>3242.1656644700811</v>
      </c>
    </row>
    <row r="105" spans="2:22" x14ac:dyDescent="0.35">
      <c r="B105" s="2">
        <f t="shared" si="41"/>
        <v>85</v>
      </c>
      <c r="C105" s="5" t="str">
        <f t="shared" si="33"/>
        <v/>
      </c>
      <c r="D105">
        <f t="shared" si="34"/>
        <v>365</v>
      </c>
      <c r="E105" s="5" t="str">
        <f t="shared" si="35"/>
        <v/>
      </c>
      <c r="F105" s="15">
        <f t="shared" si="27"/>
        <v>133225</v>
      </c>
      <c r="G105" s="2">
        <f t="shared" si="28"/>
        <v>85</v>
      </c>
      <c r="H105" s="45">
        <f t="shared" si="29"/>
        <v>5.1245889887579636</v>
      </c>
      <c r="I105" s="45">
        <f t="shared" si="36"/>
        <v>435.59006404442692</v>
      </c>
      <c r="J105" s="46">
        <f t="shared" si="37"/>
        <v>7225</v>
      </c>
      <c r="K105" s="2"/>
      <c r="L105" s="2">
        <f t="shared" si="30"/>
        <v>85</v>
      </c>
      <c r="M105" s="18">
        <f t="shared" si="31"/>
        <v>365</v>
      </c>
      <c r="N105" s="20">
        <v>0</v>
      </c>
      <c r="O105" s="18" cm="1">
        <f t="array" ref="O105">SUMPRODUCT(M$20:M$275*COS(2*PI()*L105/L$19*L$20:L$275)+N$20:N$275*SIN(2*PI()*L105/L$19*L$20:L$275))</f>
        <v>207.18445200158604</v>
      </c>
      <c r="P105" s="20" cm="1">
        <f t="array" ref="P105">SUMPRODUCT(N$20:N$275*COS(2*PI()*L104/L$19*L$20:L$275)+M$20:M$275*SIN(2*PI()*L105/L$19*L$20:L$275))</f>
        <v>157.66392453595793</v>
      </c>
      <c r="R105" s="2">
        <f t="shared" si="38"/>
        <v>85</v>
      </c>
      <c r="S105" s="54">
        <f t="shared" si="32"/>
        <v>11870.1171875</v>
      </c>
      <c r="T105" s="28">
        <f t="shared" si="39"/>
        <v>1.0170010978766155</v>
      </c>
      <c r="V105" s="11">
        <f t="shared" si="40"/>
        <v>3254.7561384418273</v>
      </c>
    </row>
    <row r="106" spans="2:22" x14ac:dyDescent="0.35">
      <c r="B106" s="2">
        <f t="shared" si="41"/>
        <v>86</v>
      </c>
      <c r="C106" s="5" t="str">
        <f t="shared" si="33"/>
        <v/>
      </c>
      <c r="D106">
        <f t="shared" si="34"/>
        <v>376</v>
      </c>
      <c r="E106" s="5" t="str">
        <f t="shared" si="35"/>
        <v/>
      </c>
      <c r="F106" s="15">
        <f t="shared" si="27"/>
        <v>141376</v>
      </c>
      <c r="G106" s="2">
        <f t="shared" si="28"/>
        <v>86</v>
      </c>
      <c r="H106" s="45">
        <f t="shared" si="29"/>
        <v>5.1503787617554035</v>
      </c>
      <c r="I106" s="45">
        <f t="shared" si="36"/>
        <v>442.93257351096469</v>
      </c>
      <c r="J106" s="46">
        <f t="shared" si="37"/>
        <v>7396</v>
      </c>
      <c r="K106" s="2"/>
      <c r="L106" s="2">
        <f t="shared" si="30"/>
        <v>86</v>
      </c>
      <c r="M106" s="18">
        <f t="shared" si="31"/>
        <v>376</v>
      </c>
      <c r="N106" s="20">
        <v>0</v>
      </c>
      <c r="O106" s="18" cm="1">
        <f t="array" ref="O106">SUMPRODUCT(M$20:M$275*COS(2*PI()*L106/L$19*L$20:L$275)+N$20:N$275*SIN(2*PI()*L106/L$19*L$20:L$275))</f>
        <v>192.89003353060079</v>
      </c>
      <c r="P106" s="20" cm="1">
        <f t="array" ref="P106">SUMPRODUCT(N$20:N$275*COS(2*PI()*L105/L$19*L$20:L$275)+M$20:M$275*SIN(2*PI()*L106/L$19*L$20:L$275))</f>
        <v>170.55557454839544</v>
      </c>
      <c r="R106" s="2">
        <f t="shared" si="38"/>
        <v>86</v>
      </c>
      <c r="S106" s="54">
        <f t="shared" si="32"/>
        <v>12009.765625</v>
      </c>
      <c r="T106" s="28">
        <f t="shared" si="39"/>
        <v>1.0057798743231083</v>
      </c>
      <c r="V106" s="11">
        <f t="shared" si="40"/>
        <v>3267.207507655809</v>
      </c>
    </row>
    <row r="107" spans="2:22" x14ac:dyDescent="0.35">
      <c r="B107" s="2">
        <f t="shared" si="41"/>
        <v>87</v>
      </c>
      <c r="C107" s="5" t="str">
        <f t="shared" si="33"/>
        <v/>
      </c>
      <c r="D107">
        <f t="shared" si="34"/>
        <v>371</v>
      </c>
      <c r="E107" s="5" t="str">
        <f t="shared" si="35"/>
        <v/>
      </c>
      <c r="F107" s="15">
        <f t="shared" si="27"/>
        <v>137641</v>
      </c>
      <c r="G107" s="2">
        <f t="shared" si="28"/>
        <v>87</v>
      </c>
      <c r="H107" s="45">
        <f t="shared" si="29"/>
        <v>5.1387509744883673</v>
      </c>
      <c r="I107" s="45">
        <f t="shared" si="36"/>
        <v>447.07133478048797</v>
      </c>
      <c r="J107" s="46">
        <f t="shared" si="37"/>
        <v>7569</v>
      </c>
      <c r="K107" s="2"/>
      <c r="L107" s="2">
        <f t="shared" si="30"/>
        <v>87</v>
      </c>
      <c r="M107" s="18">
        <f t="shared" si="31"/>
        <v>371</v>
      </c>
      <c r="N107" s="20">
        <v>0</v>
      </c>
      <c r="O107" s="18" cm="1">
        <f t="array" ref="O107">SUMPRODUCT(M$20:M$275*COS(2*PI()*L107/L$19*L$20:L$275)+N$20:N$275*SIN(2*PI()*L107/L$19*L$20:L$275))</f>
        <v>142.43662536504596</v>
      </c>
      <c r="P107" s="20" cm="1">
        <f t="array" ref="P107">SUMPRODUCT(N$20:N$275*COS(2*PI()*L106/L$19*L$20:L$275)+M$20:M$275*SIN(2*PI()*L107/L$19*L$20:L$275))</f>
        <v>80.368171230947922</v>
      </c>
      <c r="R107" s="2">
        <f t="shared" si="38"/>
        <v>87</v>
      </c>
      <c r="S107" s="54">
        <f t="shared" si="32"/>
        <v>12149.4140625</v>
      </c>
      <c r="T107" s="28">
        <f t="shared" si="39"/>
        <v>0.63885085881271753</v>
      </c>
      <c r="V107" s="11">
        <f t="shared" si="40"/>
        <v>3279.5228123267266</v>
      </c>
    </row>
    <row r="108" spans="2:22" x14ac:dyDescent="0.35">
      <c r="B108" s="2">
        <f t="shared" si="41"/>
        <v>88</v>
      </c>
      <c r="C108" s="5" t="str">
        <f t="shared" si="33"/>
        <v/>
      </c>
      <c r="D108">
        <f t="shared" si="34"/>
        <v>362</v>
      </c>
      <c r="E108" s="5" t="str">
        <f t="shared" si="35"/>
        <v/>
      </c>
      <c r="F108" s="15">
        <f t="shared" si="27"/>
        <v>131044</v>
      </c>
      <c r="G108" s="2">
        <f t="shared" si="28"/>
        <v>88</v>
      </c>
      <c r="H108" s="45">
        <f t="shared" si="29"/>
        <v>5.1174204551656022</v>
      </c>
      <c r="I108" s="45">
        <f t="shared" si="36"/>
        <v>450.33300005457301</v>
      </c>
      <c r="J108" s="46">
        <f t="shared" si="37"/>
        <v>7744</v>
      </c>
      <c r="K108" s="2"/>
      <c r="L108" s="2">
        <f t="shared" si="30"/>
        <v>88</v>
      </c>
      <c r="M108" s="18">
        <f t="shared" si="31"/>
        <v>362</v>
      </c>
      <c r="N108" s="20">
        <v>0</v>
      </c>
      <c r="O108" s="18" cm="1">
        <f t="array" ref="O108">SUMPRODUCT(M$20:M$275*COS(2*PI()*L108/L$19*L$20:L$275)+N$20:N$275*SIN(2*PI()*L108/L$19*L$20:L$275))</f>
        <v>214.82723002998662</v>
      </c>
      <c r="P108" s="20" cm="1">
        <f t="array" ref="P108">SUMPRODUCT(N$20:N$275*COS(2*PI()*L107/L$19*L$20:L$275)+M$20:M$275*SIN(2*PI()*L108/L$19*L$20:L$275))</f>
        <v>80.366363110092053</v>
      </c>
      <c r="R108" s="2">
        <f t="shared" si="38"/>
        <v>88</v>
      </c>
      <c r="S108" s="54">
        <f t="shared" si="32"/>
        <v>12289.0625</v>
      </c>
      <c r="T108" s="28">
        <f t="shared" si="39"/>
        <v>0.89596714621920492</v>
      </c>
      <c r="V108" s="11">
        <f t="shared" si="40"/>
        <v>3291.7049940772317</v>
      </c>
    </row>
    <row r="109" spans="2:22" x14ac:dyDescent="0.35">
      <c r="B109" s="2">
        <f t="shared" si="41"/>
        <v>89</v>
      </c>
      <c r="C109" s="5" t="str">
        <f t="shared" si="33"/>
        <v/>
      </c>
      <c r="D109">
        <f t="shared" si="34"/>
        <v>348</v>
      </c>
      <c r="E109" s="5" t="str">
        <f t="shared" si="35"/>
        <v/>
      </c>
      <c r="F109" s="15">
        <f t="shared" si="27"/>
        <v>121104</v>
      </c>
      <c r="G109" s="2">
        <f t="shared" si="28"/>
        <v>89</v>
      </c>
      <c r="H109" s="45">
        <f t="shared" si="29"/>
        <v>5.0831620740066583</v>
      </c>
      <c r="I109" s="45">
        <f t="shared" si="36"/>
        <v>452.40142458659261</v>
      </c>
      <c r="J109" s="46">
        <f t="shared" si="37"/>
        <v>7921</v>
      </c>
      <c r="K109" s="2"/>
      <c r="L109" s="2">
        <f t="shared" si="30"/>
        <v>89</v>
      </c>
      <c r="M109" s="18">
        <f t="shared" si="31"/>
        <v>348</v>
      </c>
      <c r="N109" s="20">
        <v>0</v>
      </c>
      <c r="O109" s="18" cm="1">
        <f t="array" ref="O109">SUMPRODUCT(M$20:M$275*COS(2*PI()*L109/L$19*L$20:L$275)+N$20:N$275*SIN(2*PI()*L109/L$19*L$20:L$275))</f>
        <v>224.57222323023456</v>
      </c>
      <c r="P109" s="20" cm="1">
        <f t="array" ref="P109">SUMPRODUCT(N$20:N$275*COS(2*PI()*L108/L$19*L$20:L$275)+M$20:M$275*SIN(2*PI()*L109/L$19*L$20:L$275))</f>
        <v>160.51756282006119</v>
      </c>
      <c r="R109" s="2">
        <f t="shared" si="38"/>
        <v>89</v>
      </c>
      <c r="S109" s="54">
        <f t="shared" si="32"/>
        <v>12428.7109375</v>
      </c>
      <c r="T109" s="28">
        <f t="shared" si="39"/>
        <v>1.0782847157247608</v>
      </c>
      <c r="V109" s="11">
        <f t="shared" si="40"/>
        <v>3303.7569001554134</v>
      </c>
    </row>
    <row r="110" spans="2:22" x14ac:dyDescent="0.35">
      <c r="B110" s="2">
        <f t="shared" si="41"/>
        <v>90</v>
      </c>
      <c r="C110" s="5" t="str">
        <f t="shared" si="33"/>
        <v/>
      </c>
      <c r="D110">
        <f t="shared" si="34"/>
        <v>306</v>
      </c>
      <c r="E110" s="5" t="str">
        <f t="shared" si="35"/>
        <v/>
      </c>
      <c r="F110" s="15">
        <f t="shared" si="27"/>
        <v>93636</v>
      </c>
      <c r="G110" s="2">
        <f t="shared" si="28"/>
        <v>90</v>
      </c>
      <c r="H110" s="45">
        <f t="shared" si="29"/>
        <v>4.9714474910528139</v>
      </c>
      <c r="I110" s="45">
        <f t="shared" si="36"/>
        <v>447.43027419475322</v>
      </c>
      <c r="J110" s="46">
        <f t="shared" si="37"/>
        <v>8100</v>
      </c>
      <c r="K110" s="2"/>
      <c r="L110" s="2">
        <f t="shared" si="30"/>
        <v>90</v>
      </c>
      <c r="M110" s="18">
        <f t="shared" si="31"/>
        <v>306</v>
      </c>
      <c r="N110" s="20">
        <v>0</v>
      </c>
      <c r="O110" s="18" cm="1">
        <f t="array" ref="O110">SUMPRODUCT(M$20:M$275*COS(2*PI()*L110/L$19*L$20:L$275)+N$20:N$275*SIN(2*PI()*L110/L$19*L$20:L$275))</f>
        <v>278.39957392909065</v>
      </c>
      <c r="P110" s="20" cm="1">
        <f t="array" ref="P110">SUMPRODUCT(N$20:N$275*COS(2*PI()*L109/L$19*L$20:L$275)+M$20:M$275*SIN(2*PI()*L110/L$19*L$20:L$275))</f>
        <v>135.73104542185291</v>
      </c>
      <c r="R110" s="2">
        <f t="shared" si="38"/>
        <v>90</v>
      </c>
      <c r="S110" s="54">
        <f t="shared" si="32"/>
        <v>12568.359375</v>
      </c>
      <c r="T110" s="28">
        <f t="shared" si="39"/>
        <v>1.2098611613623591</v>
      </c>
      <c r="V110" s="11">
        <f t="shared" si="40"/>
        <v>3315.68128742914</v>
      </c>
    </row>
    <row r="111" spans="2:22" x14ac:dyDescent="0.35">
      <c r="B111" s="2">
        <f t="shared" si="41"/>
        <v>91</v>
      </c>
      <c r="C111" s="5" t="str">
        <f t="shared" si="33"/>
        <v/>
      </c>
      <c r="D111">
        <f t="shared" si="34"/>
        <v>244</v>
      </c>
      <c r="E111" s="5" t="str">
        <f t="shared" si="35"/>
        <v/>
      </c>
      <c r="F111" s="15">
        <f t="shared" si="27"/>
        <v>59536</v>
      </c>
      <c r="G111" s="2">
        <f t="shared" si="28"/>
        <v>91</v>
      </c>
      <c r="H111" s="45">
        <f t="shared" si="29"/>
        <v>4.7747869472695479</v>
      </c>
      <c r="I111" s="45">
        <f t="shared" si="36"/>
        <v>434.50561220152883</v>
      </c>
      <c r="J111" s="46">
        <f t="shared" si="37"/>
        <v>8281</v>
      </c>
      <c r="K111" s="2"/>
      <c r="L111" s="2">
        <f t="shared" si="30"/>
        <v>91</v>
      </c>
      <c r="M111" s="18">
        <f t="shared" si="31"/>
        <v>244</v>
      </c>
      <c r="N111" s="20">
        <v>0</v>
      </c>
      <c r="O111" s="18" cm="1">
        <f t="array" ref="O111">SUMPRODUCT(M$20:M$275*COS(2*PI()*L111/L$19*L$20:L$275)+N$20:N$275*SIN(2*PI()*L111/L$19*L$20:L$275))</f>
        <v>258.02994874949735</v>
      </c>
      <c r="P111" s="20" cm="1">
        <f t="array" ref="P111">SUMPRODUCT(N$20:N$275*COS(2*PI()*L110/L$19*L$20:L$275)+M$20:M$275*SIN(2*PI()*L111/L$19*L$20:L$275))</f>
        <v>174.74471271870038</v>
      </c>
      <c r="R111" s="2">
        <f t="shared" si="38"/>
        <v>91</v>
      </c>
      <c r="S111" s="54">
        <f t="shared" si="32"/>
        <v>12708.0078125</v>
      </c>
      <c r="T111" s="28">
        <f t="shared" si="39"/>
        <v>1.2173166718982942</v>
      </c>
      <c r="V111" s="11">
        <f t="shared" si="40"/>
        <v>3327.480826171301</v>
      </c>
    </row>
    <row r="112" spans="2:22" x14ac:dyDescent="0.35">
      <c r="B112" s="2">
        <f t="shared" si="41"/>
        <v>92</v>
      </c>
      <c r="C112" s="5" t="str">
        <f t="shared" si="33"/>
        <v/>
      </c>
      <c r="D112">
        <f t="shared" si="34"/>
        <v>200</v>
      </c>
      <c r="E112" s="5" t="str">
        <f t="shared" si="35"/>
        <v/>
      </c>
      <c r="F112" s="15">
        <f t="shared" si="27"/>
        <v>40000</v>
      </c>
      <c r="G112" s="2">
        <f t="shared" si="28"/>
        <v>92</v>
      </c>
      <c r="H112" s="45">
        <f t="shared" si="29"/>
        <v>4.6020708485542956</v>
      </c>
      <c r="I112" s="45">
        <f t="shared" si="36"/>
        <v>423.39051806699518</v>
      </c>
      <c r="J112" s="46">
        <f t="shared" si="37"/>
        <v>8464</v>
      </c>
      <c r="K112" s="2"/>
      <c r="L112" s="2">
        <f t="shared" si="30"/>
        <v>92</v>
      </c>
      <c r="M112" s="18">
        <f t="shared" si="31"/>
        <v>200</v>
      </c>
      <c r="N112" s="20">
        <v>0</v>
      </c>
      <c r="O112" s="18" cm="1">
        <f t="array" ref="O112">SUMPRODUCT(M$20:M$275*COS(2*PI()*L112/L$19*L$20:L$275)+N$20:N$275*SIN(2*PI()*L112/L$19*L$20:L$275))</f>
        <v>201.68673492554893</v>
      </c>
      <c r="P112" s="20" cm="1">
        <f t="array" ref="P112">SUMPRODUCT(N$20:N$275*COS(2*PI()*L111/L$19*L$20:L$275)+M$20:M$275*SIN(2*PI()*L112/L$19*L$20:L$275))</f>
        <v>195.77546972482003</v>
      </c>
      <c r="R112" s="2">
        <f t="shared" si="38"/>
        <v>92</v>
      </c>
      <c r="S112" s="54">
        <f t="shared" si="32"/>
        <v>12847.65625</v>
      </c>
      <c r="T112" s="28">
        <f t="shared" si="39"/>
        <v>1.0979660205058275</v>
      </c>
      <c r="V112" s="11">
        <f t="shared" si="40"/>
        <v>3339.1581036489288</v>
      </c>
    </row>
    <row r="113" spans="2:22" x14ac:dyDescent="0.35">
      <c r="B113" s="2">
        <f t="shared" si="41"/>
        <v>93</v>
      </c>
      <c r="C113" s="5" t="str">
        <f t="shared" si="33"/>
        <v/>
      </c>
      <c r="D113">
        <f t="shared" si="34"/>
        <v>180</v>
      </c>
      <c r="E113" s="5" t="str">
        <f t="shared" si="35"/>
        <v/>
      </c>
      <c r="F113" s="15">
        <f t="shared" si="27"/>
        <v>32400</v>
      </c>
      <c r="G113" s="2">
        <f t="shared" si="28"/>
        <v>93</v>
      </c>
      <c r="H113" s="45">
        <f t="shared" si="29"/>
        <v>4.510558414150438</v>
      </c>
      <c r="I113" s="45">
        <f t="shared" si="36"/>
        <v>419.48193251599071</v>
      </c>
      <c r="J113" s="46">
        <f t="shared" si="37"/>
        <v>8649</v>
      </c>
      <c r="K113" s="2"/>
      <c r="L113" s="2">
        <f t="shared" si="30"/>
        <v>93</v>
      </c>
      <c r="M113" s="18">
        <f t="shared" si="31"/>
        <v>180</v>
      </c>
      <c r="N113" s="20">
        <v>0</v>
      </c>
      <c r="O113" s="18" cm="1">
        <f t="array" ref="O113">SUMPRODUCT(M$20:M$275*COS(2*PI()*L113/L$19*L$20:L$275)+N$20:N$275*SIN(2*PI()*L113/L$19*L$20:L$275))</f>
        <v>162.00535866602388</v>
      </c>
      <c r="P113" s="20" cm="1">
        <f t="array" ref="P113">SUMPRODUCT(N$20:N$275*COS(2*PI()*L112/L$19*L$20:L$275)+M$20:M$275*SIN(2*PI()*L113/L$19*L$20:L$275))</f>
        <v>113.02100889909501</v>
      </c>
      <c r="R113" s="2">
        <f t="shared" si="38"/>
        <v>93</v>
      </c>
      <c r="S113" s="54">
        <f t="shared" si="32"/>
        <v>12987.3046875</v>
      </c>
      <c r="T113" s="28">
        <f t="shared" si="39"/>
        <v>0.77161524492331313</v>
      </c>
      <c r="V113" s="11">
        <f t="shared" si="40"/>
        <v>3350.7156275282832</v>
      </c>
    </row>
    <row r="114" spans="2:22" x14ac:dyDescent="0.35">
      <c r="B114" s="2">
        <f t="shared" si="41"/>
        <v>94</v>
      </c>
      <c r="C114" s="5" t="str">
        <f t="shared" si="33"/>
        <v/>
      </c>
      <c r="D114">
        <f t="shared" si="34"/>
        <v>164</v>
      </c>
      <c r="E114" s="5" t="str">
        <f t="shared" si="35"/>
        <v/>
      </c>
      <c r="F114" s="15">
        <f t="shared" si="27"/>
        <v>26896</v>
      </c>
      <c r="G114" s="2">
        <f t="shared" si="28"/>
        <v>94</v>
      </c>
      <c r="H114" s="45">
        <f t="shared" si="29"/>
        <v>4.4297038429725717</v>
      </c>
      <c r="I114" s="45">
        <f t="shared" si="36"/>
        <v>416.39216123942174</v>
      </c>
      <c r="J114" s="46">
        <f t="shared" si="37"/>
        <v>8836</v>
      </c>
      <c r="K114" s="2"/>
      <c r="L114" s="2">
        <f t="shared" si="30"/>
        <v>94</v>
      </c>
      <c r="M114" s="18">
        <f t="shared" si="31"/>
        <v>164</v>
      </c>
      <c r="N114" s="20">
        <v>0</v>
      </c>
      <c r="O114" s="18" cm="1">
        <f t="array" ref="O114">SUMPRODUCT(M$20:M$275*COS(2*PI()*L114/L$19*L$20:L$275)+N$20:N$275*SIN(2*PI()*L114/L$19*L$20:L$275))</f>
        <v>153.45064293612006</v>
      </c>
      <c r="P114" s="20" cm="1">
        <f t="array" ref="P114">SUMPRODUCT(N$20:N$275*COS(2*PI()*L113/L$19*L$20:L$275)+M$20:M$275*SIN(2*PI()*L114/L$19*L$20:L$275))</f>
        <v>127.64459835585876</v>
      </c>
      <c r="R114" s="2">
        <f t="shared" si="38"/>
        <v>94</v>
      </c>
      <c r="S114" s="54">
        <f t="shared" si="32"/>
        <v>13126.953125</v>
      </c>
      <c r="T114" s="28">
        <f t="shared" si="39"/>
        <v>0.77968831517423098</v>
      </c>
      <c r="V114" s="11">
        <f t="shared" si="40"/>
        <v>3362.1558291070946</v>
      </c>
    </row>
    <row r="115" spans="2:22" x14ac:dyDescent="0.35">
      <c r="B115" s="2">
        <f t="shared" si="41"/>
        <v>95</v>
      </c>
      <c r="C115" s="5" t="str">
        <f t="shared" si="33"/>
        <v/>
      </c>
      <c r="D115">
        <f t="shared" si="34"/>
        <v>156</v>
      </c>
      <c r="E115" s="5" t="str">
        <f t="shared" si="35"/>
        <v/>
      </c>
      <c r="F115" s="15">
        <f t="shared" si="27"/>
        <v>24336</v>
      </c>
      <c r="G115" s="2">
        <f t="shared" si="28"/>
        <v>95</v>
      </c>
      <c r="H115" s="45">
        <f t="shared" si="29"/>
        <v>4.3862670421050138</v>
      </c>
      <c r="I115" s="45">
        <f t="shared" si="36"/>
        <v>416.69536899997632</v>
      </c>
      <c r="J115" s="46">
        <f t="shared" si="37"/>
        <v>9025</v>
      </c>
      <c r="K115" s="2"/>
      <c r="L115" s="2">
        <f t="shared" si="30"/>
        <v>95</v>
      </c>
      <c r="M115" s="18">
        <f t="shared" si="31"/>
        <v>156</v>
      </c>
      <c r="N115" s="20">
        <v>0</v>
      </c>
      <c r="O115" s="18" cm="1">
        <f t="array" ref="O115">SUMPRODUCT(M$20:M$275*COS(2*PI()*L115/L$19*L$20:L$275)+N$20:N$275*SIN(2*PI()*L115/L$19*L$20:L$275))</f>
        <v>237.94231807751873</v>
      </c>
      <c r="P115" s="20" cm="1">
        <f t="array" ref="P115">SUMPRODUCT(N$20:N$275*COS(2*PI()*L114/L$19*L$20:L$275)+M$20:M$275*SIN(2*PI()*L115/L$19*L$20:L$275))</f>
        <v>71.637234868026923</v>
      </c>
      <c r="R115" s="2">
        <f t="shared" si="38"/>
        <v>95</v>
      </c>
      <c r="S115" s="54">
        <f t="shared" si="32"/>
        <v>13266.6015625</v>
      </c>
      <c r="T115" s="28">
        <f t="shared" si="39"/>
        <v>0.97067318043318751</v>
      </c>
      <c r="V115" s="11">
        <f t="shared" si="40"/>
        <v>3373.4810663844023</v>
      </c>
    </row>
    <row r="116" spans="2:22" x14ac:dyDescent="0.35">
      <c r="B116" s="2">
        <f t="shared" si="41"/>
        <v>96</v>
      </c>
      <c r="C116" s="5" t="str">
        <f t="shared" si="33"/>
        <v/>
      </c>
      <c r="D116">
        <f t="shared" si="34"/>
        <v>151</v>
      </c>
      <c r="E116" s="5" t="str">
        <f t="shared" si="35"/>
        <v/>
      </c>
      <c r="F116" s="15">
        <f t="shared" si="27"/>
        <v>22801</v>
      </c>
      <c r="G116" s="2">
        <f t="shared" si="28"/>
        <v>96</v>
      </c>
      <c r="H116" s="45">
        <f t="shared" si="29"/>
        <v>4.3579729413368584</v>
      </c>
      <c r="I116" s="45">
        <f t="shared" si="36"/>
        <v>418.36540236833844</v>
      </c>
      <c r="J116" s="46">
        <f t="shared" si="37"/>
        <v>9216</v>
      </c>
      <c r="K116" s="2"/>
      <c r="L116" s="2">
        <f t="shared" si="30"/>
        <v>96</v>
      </c>
      <c r="M116" s="18">
        <f t="shared" si="31"/>
        <v>151</v>
      </c>
      <c r="N116" s="20">
        <v>0</v>
      </c>
      <c r="O116" s="18" cm="1">
        <f t="array" ref="O116">SUMPRODUCT(M$20:M$275*COS(2*PI()*L116/L$19*L$20:L$275)+N$20:N$275*SIN(2*PI()*L116/L$19*L$20:L$275))</f>
        <v>203.68506601172544</v>
      </c>
      <c r="P116" s="20" cm="1">
        <f t="array" ref="P116">SUMPRODUCT(N$20:N$275*COS(2*PI()*L115/L$19*L$20:L$275)+M$20:M$275*SIN(2*PI()*L116/L$19*L$20:L$275))</f>
        <v>126.16024611824511</v>
      </c>
      <c r="R116" s="2">
        <f t="shared" si="38"/>
        <v>96</v>
      </c>
      <c r="S116" s="54">
        <f t="shared" ref="S116:S147" si="42">R116*T$14/L$19</f>
        <v>13406.25</v>
      </c>
      <c r="T116" s="28">
        <f t="shared" si="39"/>
        <v>0.93590370133451661</v>
      </c>
      <c r="V116" s="11">
        <f t="shared" si="40"/>
        <v>3384.6936269776711</v>
      </c>
    </row>
    <row r="117" spans="2:22" x14ac:dyDescent="0.35">
      <c r="B117" s="2">
        <f t="shared" si="41"/>
        <v>97</v>
      </c>
      <c r="C117" s="5" t="str">
        <f t="shared" si="33"/>
        <v/>
      </c>
      <c r="D117">
        <f t="shared" si="34"/>
        <v>114</v>
      </c>
      <c r="E117" s="5" t="str">
        <f t="shared" si="35"/>
        <v/>
      </c>
      <c r="F117" s="15">
        <f t="shared" si="27"/>
        <v>12996</v>
      </c>
      <c r="G117" s="2">
        <f t="shared" si="28"/>
        <v>97</v>
      </c>
      <c r="H117" s="45">
        <f t="shared" si="29"/>
        <v>4.1138431189374867</v>
      </c>
      <c r="I117" s="45">
        <f t="shared" si="36"/>
        <v>399.04278253693622</v>
      </c>
      <c r="J117" s="46">
        <f t="shared" si="37"/>
        <v>9409</v>
      </c>
      <c r="K117" s="2"/>
      <c r="L117" s="2">
        <f t="shared" si="30"/>
        <v>97</v>
      </c>
      <c r="M117" s="18">
        <f t="shared" si="31"/>
        <v>114</v>
      </c>
      <c r="N117" s="20">
        <v>0</v>
      </c>
      <c r="O117" s="18" cm="1">
        <f t="array" ref="O117">SUMPRODUCT(M$20:M$275*COS(2*PI()*L117/L$19*L$20:L$275)+N$20:N$275*SIN(2*PI()*L117/L$19*L$20:L$275))</f>
        <v>221.35921592038875</v>
      </c>
      <c r="P117" s="20" cm="1">
        <f t="array" ref="P117">SUMPRODUCT(N$20:N$275*COS(2*PI()*L116/L$19*L$20:L$275)+M$20:M$275*SIN(2*PI()*L117/L$19*L$20:L$275))</f>
        <v>119.95396816436374</v>
      </c>
      <c r="R117" s="2">
        <f t="shared" si="38"/>
        <v>97</v>
      </c>
      <c r="S117" s="54">
        <f t="shared" si="42"/>
        <v>13545.8984375</v>
      </c>
      <c r="T117" s="28">
        <f t="shared" si="39"/>
        <v>0.98348217936694826</v>
      </c>
      <c r="V117" s="11">
        <f t="shared" si="40"/>
        <v>3395.7957308962218</v>
      </c>
    </row>
    <row r="118" spans="2:22" x14ac:dyDescent="0.35">
      <c r="B118" s="2">
        <f t="shared" si="41"/>
        <v>98</v>
      </c>
      <c r="C118" s="5" t="str">
        <f t="shared" si="33"/>
        <v/>
      </c>
      <c r="D118">
        <f t="shared" si="34"/>
        <v>13</v>
      </c>
      <c r="E118" s="5" t="str">
        <f t="shared" si="35"/>
        <v/>
      </c>
      <c r="F118" s="15">
        <f t="shared" si="27"/>
        <v>169</v>
      </c>
      <c r="G118" s="2">
        <f t="shared" si="28"/>
        <v>98</v>
      </c>
      <c r="H118" s="45">
        <f t="shared" si="29"/>
        <v>2.2304489213782741</v>
      </c>
      <c r="I118" s="45">
        <f t="shared" si="36"/>
        <v>218.58399429507085</v>
      </c>
      <c r="J118" s="46">
        <f t="shared" si="37"/>
        <v>9604</v>
      </c>
      <c r="K118" s="2"/>
      <c r="L118" s="2">
        <f t="shared" si="30"/>
        <v>98</v>
      </c>
      <c r="M118" s="18">
        <f t="shared" si="31"/>
        <v>13</v>
      </c>
      <c r="N118" s="20">
        <v>0</v>
      </c>
      <c r="O118" s="18" cm="1">
        <f t="array" ref="O118">SUMPRODUCT(M$20:M$275*COS(2*PI()*L118/L$19*L$20:L$275)+N$20:N$275*SIN(2*PI()*L118/L$19*L$20:L$275))</f>
        <v>192.31791899264718</v>
      </c>
      <c r="P118" s="20" cm="1">
        <f t="array" ref="P118">SUMPRODUCT(N$20:N$275*COS(2*PI()*L117/L$19*L$20:L$275)+M$20:M$275*SIN(2*PI()*L118/L$19*L$20:L$275))</f>
        <v>153.80360532023613</v>
      </c>
      <c r="R118" s="2">
        <f t="shared" si="38"/>
        <v>98</v>
      </c>
      <c r="S118" s="54">
        <f t="shared" si="42"/>
        <v>13685.546875</v>
      </c>
      <c r="T118" s="28">
        <f t="shared" si="39"/>
        <v>0.96193522720343327</v>
      </c>
      <c r="V118" s="11">
        <f t="shared" si="40"/>
        <v>3406.7895331793779</v>
      </c>
    </row>
    <row r="119" spans="2:22" x14ac:dyDescent="0.35">
      <c r="B119" s="2">
        <f t="shared" si="41"/>
        <v>99</v>
      </c>
      <c r="C119" s="5" t="str">
        <f t="shared" si="33"/>
        <v/>
      </c>
      <c r="D119">
        <f t="shared" si="34"/>
        <v>-139</v>
      </c>
      <c r="E119" s="5">
        <f t="shared" si="35"/>
        <v>1</v>
      </c>
      <c r="F119" s="15">
        <f t="shared" si="27"/>
        <v>19321</v>
      </c>
      <c r="G119" s="2">
        <f t="shared" si="28"/>
        <v>99</v>
      </c>
      <c r="H119" s="45">
        <f t="shared" si="29"/>
        <v>4.2860520777735163</v>
      </c>
      <c r="I119" s="45">
        <f t="shared" si="36"/>
        <v>424.31915569957812</v>
      </c>
      <c r="J119" s="46">
        <f t="shared" si="37"/>
        <v>9801</v>
      </c>
      <c r="K119" s="2"/>
      <c r="L119" s="2">
        <f t="shared" si="30"/>
        <v>99</v>
      </c>
      <c r="M119" s="18">
        <f t="shared" si="31"/>
        <v>-139</v>
      </c>
      <c r="N119" s="20">
        <v>0</v>
      </c>
      <c r="O119" s="18" cm="1">
        <f t="array" ref="O119">SUMPRODUCT(M$20:M$275*COS(2*PI()*L119/L$19*L$20:L$275)+N$20:N$275*SIN(2*PI()*L119/L$19*L$20:L$275))</f>
        <v>160.8774357314272</v>
      </c>
      <c r="P119" s="20" cm="1">
        <f t="array" ref="P119">SUMPRODUCT(N$20:N$275*COS(2*PI()*L118/L$19*L$20:L$275)+M$20:M$275*SIN(2*PI()*L119/L$19*L$20:L$275))</f>
        <v>119.75632820049822</v>
      </c>
      <c r="R119" s="2">
        <f t="shared" si="38"/>
        <v>99</v>
      </c>
      <c r="S119" s="54">
        <f t="shared" si="42"/>
        <v>13825.1953125</v>
      </c>
      <c r="T119" s="28">
        <f t="shared" si="39"/>
        <v>0.78342594897218176</v>
      </c>
      <c r="V119" s="11">
        <f t="shared" si="40"/>
        <v>3417.6771264071808</v>
      </c>
    </row>
    <row r="120" spans="2:22" x14ac:dyDescent="0.35">
      <c r="B120" s="2">
        <f t="shared" si="41"/>
        <v>100</v>
      </c>
      <c r="C120" s="5" t="str">
        <f t="shared" si="33"/>
        <v/>
      </c>
      <c r="D120">
        <f t="shared" si="34"/>
        <v>-284</v>
      </c>
      <c r="E120" s="5" t="str">
        <f t="shared" si="35"/>
        <v/>
      </c>
      <c r="F120" s="15">
        <f t="shared" si="27"/>
        <v>80656</v>
      </c>
      <c r="G120" s="2">
        <f t="shared" si="28"/>
        <v>100</v>
      </c>
      <c r="H120" s="45">
        <f t="shared" si="29"/>
        <v>4.9066420645885911</v>
      </c>
      <c r="I120" s="45">
        <f t="shared" si="36"/>
        <v>490.6642064588591</v>
      </c>
      <c r="J120" s="46">
        <f t="shared" si="37"/>
        <v>10000</v>
      </c>
      <c r="K120" s="2"/>
      <c r="L120" s="2">
        <f t="shared" si="30"/>
        <v>100</v>
      </c>
      <c r="M120" s="18">
        <f t="shared" si="31"/>
        <v>-284</v>
      </c>
      <c r="N120" s="20">
        <v>0</v>
      </c>
      <c r="O120" s="18" cm="1">
        <f t="array" ref="O120">SUMPRODUCT(M$20:M$275*COS(2*PI()*L120/L$19*L$20:L$275)+N$20:N$275*SIN(2*PI()*L120/L$19*L$20:L$275))</f>
        <v>144.85110769907917</v>
      </c>
      <c r="P120" s="20" cm="1">
        <f t="array" ref="P120">SUMPRODUCT(N$20:N$275*COS(2*PI()*L119/L$19*L$20:L$275)+M$20:M$275*SIN(2*PI()*L120/L$19*L$20:L$275))</f>
        <v>68.063310686684119</v>
      </c>
      <c r="R120" s="2">
        <f t="shared" si="38"/>
        <v>100</v>
      </c>
      <c r="S120" s="54">
        <f t="shared" si="42"/>
        <v>13964.84375</v>
      </c>
      <c r="T120" s="28">
        <f t="shared" si="39"/>
        <v>0.62517646023691709</v>
      </c>
      <c r="V120" s="11">
        <f t="shared" si="40"/>
        <v>3428.4605430909769</v>
      </c>
    </row>
    <row r="121" spans="2:22" x14ac:dyDescent="0.35">
      <c r="B121" s="2">
        <f t="shared" si="41"/>
        <v>101</v>
      </c>
      <c r="C121" s="5" t="str">
        <f t="shared" si="33"/>
        <v/>
      </c>
      <c r="D121">
        <f t="shared" si="34"/>
        <v>-352</v>
      </c>
      <c r="E121" s="5" t="str">
        <f t="shared" si="35"/>
        <v/>
      </c>
      <c r="F121" s="15">
        <f t="shared" si="27"/>
        <v>123904</v>
      </c>
      <c r="G121" s="2">
        <f t="shared" si="28"/>
        <v>101</v>
      </c>
      <c r="H121" s="45">
        <f t="shared" si="29"/>
        <v>5.0930888320305883</v>
      </c>
      <c r="I121" s="45">
        <f t="shared" si="36"/>
        <v>514.40197203508944</v>
      </c>
      <c r="J121" s="46">
        <f t="shared" si="37"/>
        <v>10201</v>
      </c>
      <c r="K121" s="2"/>
      <c r="L121" s="2">
        <f t="shared" si="30"/>
        <v>101</v>
      </c>
      <c r="M121" s="18">
        <f t="shared" si="31"/>
        <v>-352</v>
      </c>
      <c r="N121" s="20">
        <v>0</v>
      </c>
      <c r="O121" s="18" cm="1">
        <f t="array" ref="O121">SUMPRODUCT(M$20:M$275*COS(2*PI()*L121/L$19*L$20:L$275)+N$20:N$275*SIN(2*PI()*L121/L$19*L$20:L$275))</f>
        <v>139.28827393389651</v>
      </c>
      <c r="P121" s="20" cm="1">
        <f t="array" ref="P121">SUMPRODUCT(N$20:N$275*COS(2*PI()*L120/L$19*L$20:L$275)+M$20:M$275*SIN(2*PI()*L121/L$19*L$20:L$275))</f>
        <v>107.85771102361969</v>
      </c>
      <c r="R121" s="2">
        <f t="shared" si="38"/>
        <v>101</v>
      </c>
      <c r="S121" s="54">
        <f t="shared" si="42"/>
        <v>14104.4921875</v>
      </c>
      <c r="T121" s="28">
        <f t="shared" si="39"/>
        <v>0.68814898659501955</v>
      </c>
      <c r="V121" s="11">
        <f t="shared" si="40"/>
        <v>3439.141757950722</v>
      </c>
    </row>
    <row r="122" spans="2:22" x14ac:dyDescent="0.35">
      <c r="B122" s="2">
        <f t="shared" si="41"/>
        <v>102</v>
      </c>
      <c r="C122" s="5" t="str">
        <f t="shared" si="33"/>
        <v/>
      </c>
      <c r="D122">
        <f t="shared" si="34"/>
        <v>-338</v>
      </c>
      <c r="E122" s="5" t="str">
        <f t="shared" si="35"/>
        <v/>
      </c>
      <c r="F122" s="15">
        <f t="shared" si="27"/>
        <v>114244</v>
      </c>
      <c r="G122" s="2">
        <f t="shared" si="28"/>
        <v>102</v>
      </c>
      <c r="H122" s="45">
        <f t="shared" si="29"/>
        <v>5.057837202002923</v>
      </c>
      <c r="I122" s="45">
        <f t="shared" si="36"/>
        <v>515.8993946042981</v>
      </c>
      <c r="J122" s="46">
        <f t="shared" si="37"/>
        <v>10404</v>
      </c>
      <c r="K122" s="2"/>
      <c r="L122" s="2">
        <f t="shared" si="30"/>
        <v>102</v>
      </c>
      <c r="M122" s="18">
        <f t="shared" si="31"/>
        <v>-338</v>
      </c>
      <c r="N122" s="20">
        <v>0</v>
      </c>
      <c r="O122" s="18" cm="1">
        <f t="array" ref="O122">SUMPRODUCT(M$20:M$275*COS(2*PI()*L122/L$19*L$20:L$275)+N$20:N$275*SIN(2*PI()*L122/L$19*L$20:L$275))</f>
        <v>128.49701872570745</v>
      </c>
      <c r="P122" s="20" cm="1">
        <f t="array" ref="P122">SUMPRODUCT(N$20:N$275*COS(2*PI()*L121/L$19*L$20:L$275)+M$20:M$275*SIN(2*PI()*L122/L$19*L$20:L$275))</f>
        <v>71.935318713513283</v>
      </c>
      <c r="R122" s="2">
        <f t="shared" si="38"/>
        <v>102</v>
      </c>
      <c r="S122" s="54">
        <f t="shared" si="42"/>
        <v>14244.140625</v>
      </c>
      <c r="T122" s="28">
        <f t="shared" si="39"/>
        <v>0.575243212137168</v>
      </c>
      <c r="V122" s="11">
        <f t="shared" si="40"/>
        <v>3449.7226900853743</v>
      </c>
    </row>
    <row r="123" spans="2:22" x14ac:dyDescent="0.35">
      <c r="B123" s="2">
        <f t="shared" si="41"/>
        <v>103</v>
      </c>
      <c r="C123" s="5" t="str">
        <f t="shared" si="33"/>
        <v/>
      </c>
      <c r="D123">
        <f t="shared" si="34"/>
        <v>-295</v>
      </c>
      <c r="E123" s="5" t="str">
        <f t="shared" si="35"/>
        <v/>
      </c>
      <c r="F123" s="15">
        <f t="shared" si="27"/>
        <v>87025</v>
      </c>
      <c r="G123" s="2">
        <f t="shared" si="28"/>
        <v>103</v>
      </c>
      <c r="H123" s="45">
        <f t="shared" si="29"/>
        <v>4.9396490223842111</v>
      </c>
      <c r="I123" s="45">
        <f t="shared" si="36"/>
        <v>508.78384930557377</v>
      </c>
      <c r="J123" s="46">
        <f t="shared" si="37"/>
        <v>10609</v>
      </c>
      <c r="K123" s="2"/>
      <c r="L123" s="2">
        <f t="shared" si="30"/>
        <v>103</v>
      </c>
      <c r="M123" s="18">
        <f t="shared" si="31"/>
        <v>-295</v>
      </c>
      <c r="N123" s="20">
        <v>0</v>
      </c>
      <c r="O123" s="18" cm="1">
        <f t="array" ref="O123">SUMPRODUCT(M$20:M$275*COS(2*PI()*L123/L$19*L$20:L$275)+N$20:N$275*SIN(2*PI()*L123/L$19*L$20:L$275))</f>
        <v>151.2353977147541</v>
      </c>
      <c r="P123" s="20" cm="1">
        <f t="array" ref="P123">SUMPRODUCT(N$20:N$275*COS(2*PI()*L122/L$19*L$20:L$275)+M$20:M$275*SIN(2*PI()*L123/L$19*L$20:L$275))</f>
        <v>23.951830560392175</v>
      </c>
      <c r="R123" s="2">
        <f t="shared" si="38"/>
        <v>103</v>
      </c>
      <c r="S123" s="54">
        <f t="shared" si="42"/>
        <v>14383.7890625</v>
      </c>
      <c r="T123" s="28">
        <f t="shared" si="39"/>
        <v>0.59812629224913649</v>
      </c>
      <c r="V123" s="11">
        <f t="shared" si="40"/>
        <v>3460.2052050423445</v>
      </c>
    </row>
    <row r="124" spans="2:22" x14ac:dyDescent="0.35">
      <c r="B124" s="2">
        <f t="shared" si="41"/>
        <v>104</v>
      </c>
      <c r="C124" s="5" t="str">
        <f t="shared" si="33"/>
        <v/>
      </c>
      <c r="D124">
        <f t="shared" si="34"/>
        <v>-246</v>
      </c>
      <c r="E124" s="5" t="str">
        <f t="shared" si="35"/>
        <v/>
      </c>
      <c r="F124" s="15">
        <f t="shared" si="27"/>
        <v>60516</v>
      </c>
      <c r="G124" s="2">
        <f t="shared" si="28"/>
        <v>104</v>
      </c>
      <c r="H124" s="45">
        <f t="shared" si="29"/>
        <v>4.7818773906707293</v>
      </c>
      <c r="I124" s="45">
        <f t="shared" si="36"/>
        <v>497.31524862975584</v>
      </c>
      <c r="J124" s="46">
        <f t="shared" si="37"/>
        <v>10816</v>
      </c>
      <c r="K124" s="2"/>
      <c r="L124" s="2">
        <f t="shared" si="30"/>
        <v>104</v>
      </c>
      <c r="M124" s="18">
        <f t="shared" si="31"/>
        <v>-246</v>
      </c>
      <c r="N124" s="20">
        <v>0</v>
      </c>
      <c r="O124" s="18" cm="1">
        <f t="array" ref="O124">SUMPRODUCT(M$20:M$275*COS(2*PI()*L124/L$19*L$20:L$275)+N$20:N$275*SIN(2*PI()*L124/L$19*L$20:L$275))</f>
        <v>191.72617207921886</v>
      </c>
      <c r="P124" s="20" cm="1">
        <f t="array" ref="P124">SUMPRODUCT(N$20:N$275*COS(2*PI()*L123/L$19*L$20:L$275)+M$20:M$275*SIN(2*PI()*L124/L$19*L$20:L$275))</f>
        <v>16.428640050286269</v>
      </c>
      <c r="R124" s="2">
        <f t="shared" si="38"/>
        <v>104</v>
      </c>
      <c r="S124" s="54">
        <f t="shared" si="42"/>
        <v>14523.4375</v>
      </c>
      <c r="T124" s="28">
        <f t="shared" si="39"/>
        <v>0.75167481937931779</v>
      </c>
      <c r="V124" s="11">
        <f t="shared" si="40"/>
        <v>3470.5911167915906</v>
      </c>
    </row>
    <row r="125" spans="2:22" x14ac:dyDescent="0.35">
      <c r="B125" s="2">
        <f t="shared" si="41"/>
        <v>105</v>
      </c>
      <c r="C125" s="5" t="str">
        <f t="shared" si="33"/>
        <v/>
      </c>
      <c r="D125">
        <f t="shared" si="34"/>
        <v>-206</v>
      </c>
      <c r="E125" s="5" t="str">
        <f t="shared" si="35"/>
        <v/>
      </c>
      <c r="F125" s="15">
        <f t="shared" si="27"/>
        <v>42436</v>
      </c>
      <c r="G125" s="2">
        <f t="shared" si="28"/>
        <v>105</v>
      </c>
      <c r="H125" s="45">
        <f t="shared" si="29"/>
        <v>4.6277446747227762</v>
      </c>
      <c r="I125" s="45">
        <f t="shared" si="36"/>
        <v>485.91319084589151</v>
      </c>
      <c r="J125" s="46">
        <f t="shared" si="37"/>
        <v>11025</v>
      </c>
      <c r="K125" s="2"/>
      <c r="L125" s="2">
        <f t="shared" si="30"/>
        <v>105</v>
      </c>
      <c r="M125" s="18">
        <f t="shared" si="31"/>
        <v>-206</v>
      </c>
      <c r="N125" s="20">
        <v>0</v>
      </c>
      <c r="O125" s="18" cm="1">
        <f t="array" ref="O125">SUMPRODUCT(M$20:M$275*COS(2*PI()*L125/L$19*L$20:L$275)+N$20:N$275*SIN(2*PI()*L125/L$19*L$20:L$275))</f>
        <v>208.60314445513393</v>
      </c>
      <c r="P125" s="20" cm="1">
        <f t="array" ref="P125">SUMPRODUCT(N$20:N$275*COS(2*PI()*L124/L$19*L$20:L$275)+M$20:M$275*SIN(2*PI()*L125/L$19*L$20:L$275))</f>
        <v>81.761705271309864</v>
      </c>
      <c r="R125" s="2">
        <f t="shared" si="38"/>
        <v>105</v>
      </c>
      <c r="S125" s="54">
        <f t="shared" si="42"/>
        <v>14663.0859375</v>
      </c>
      <c r="T125" s="28">
        <f t="shared" si="39"/>
        <v>0.87521140308101475</v>
      </c>
      <c r="V125" s="11">
        <f t="shared" si="40"/>
        <v>3480.8821896095765</v>
      </c>
    </row>
    <row r="126" spans="2:22" x14ac:dyDescent="0.35">
      <c r="B126" s="2">
        <f t="shared" si="41"/>
        <v>106</v>
      </c>
      <c r="C126" s="5" t="str">
        <f t="shared" si="33"/>
        <v/>
      </c>
      <c r="D126">
        <f t="shared" si="34"/>
        <v>-167</v>
      </c>
      <c r="E126" s="5" t="str">
        <f t="shared" si="35"/>
        <v/>
      </c>
      <c r="F126" s="15">
        <f t="shared" si="27"/>
        <v>27889</v>
      </c>
      <c r="G126" s="2">
        <f t="shared" si="28"/>
        <v>106</v>
      </c>
      <c r="H126" s="45">
        <f t="shared" si="29"/>
        <v>4.44544851426605</v>
      </c>
      <c r="I126" s="45">
        <f t="shared" si="36"/>
        <v>471.21754251220131</v>
      </c>
      <c r="J126" s="46">
        <f t="shared" si="37"/>
        <v>11236</v>
      </c>
      <c r="K126" s="2"/>
      <c r="L126" s="2">
        <f t="shared" si="30"/>
        <v>106</v>
      </c>
      <c r="M126" s="18">
        <f t="shared" si="31"/>
        <v>-167</v>
      </c>
      <c r="N126" s="20">
        <v>0</v>
      </c>
      <c r="O126" s="18" cm="1">
        <f t="array" ref="O126">SUMPRODUCT(M$20:M$275*COS(2*PI()*L126/L$19*L$20:L$275)+N$20:N$275*SIN(2*PI()*L126/L$19*L$20:L$275))</f>
        <v>183.18580483805053</v>
      </c>
      <c r="P126" s="20" cm="1">
        <f t="array" ref="P126">SUMPRODUCT(N$20:N$275*COS(2*PI()*L125/L$19*L$20:L$275)+M$20:M$275*SIN(2*PI()*L126/L$19*L$20:L$275))</f>
        <v>72.537462743372686</v>
      </c>
      <c r="R126" s="2">
        <f t="shared" si="38"/>
        <v>106</v>
      </c>
      <c r="S126" s="54">
        <f t="shared" si="42"/>
        <v>14802.734375</v>
      </c>
      <c r="T126" s="28">
        <f t="shared" si="39"/>
        <v>0.76962763708112225</v>
      </c>
      <c r="V126" s="11">
        <f t="shared" si="40"/>
        <v>3491.0801398779859</v>
      </c>
    </row>
    <row r="127" spans="2:22" x14ac:dyDescent="0.35">
      <c r="B127" s="2">
        <f t="shared" si="41"/>
        <v>107</v>
      </c>
      <c r="C127" s="5" t="str">
        <f t="shared" si="33"/>
        <v/>
      </c>
      <c r="D127">
        <f t="shared" si="34"/>
        <v>-132</v>
      </c>
      <c r="E127" s="5" t="str">
        <f t="shared" si="35"/>
        <v/>
      </c>
      <c r="F127" s="15">
        <f t="shared" si="27"/>
        <v>17424</v>
      </c>
      <c r="G127" s="2">
        <f t="shared" si="28"/>
        <v>107</v>
      </c>
      <c r="H127" s="45">
        <f t="shared" si="29"/>
        <v>4.2411727867700471</v>
      </c>
      <c r="I127" s="45">
        <f t="shared" si="36"/>
        <v>453.80548818439502</v>
      </c>
      <c r="J127" s="46">
        <f t="shared" si="37"/>
        <v>11449</v>
      </c>
      <c r="K127" s="2"/>
      <c r="L127" s="2">
        <f t="shared" si="30"/>
        <v>107</v>
      </c>
      <c r="M127" s="18">
        <f t="shared" si="31"/>
        <v>-132</v>
      </c>
      <c r="N127" s="20">
        <v>0</v>
      </c>
      <c r="O127" s="18" cm="1">
        <f t="array" ref="O127">SUMPRODUCT(M$20:M$275*COS(2*PI()*L127/L$19*L$20:L$275)+N$20:N$275*SIN(2*PI()*L127/L$19*L$20:L$275))</f>
        <v>187.81150893082673</v>
      </c>
      <c r="P127" s="20" cm="1">
        <f t="array" ref="P127">SUMPRODUCT(N$20:N$275*COS(2*PI()*L126/L$19*L$20:L$275)+M$20:M$275*SIN(2*PI()*L127/L$19*L$20:L$275))</f>
        <v>59.661353798175952</v>
      </c>
      <c r="R127" s="2">
        <f t="shared" si="38"/>
        <v>107</v>
      </c>
      <c r="S127" s="54">
        <f t="shared" si="42"/>
        <v>14942.3828125</v>
      </c>
      <c r="T127" s="28">
        <f t="shared" si="39"/>
        <v>0.76976558955617347</v>
      </c>
      <c r="V127" s="11">
        <f t="shared" si="40"/>
        <v>3501.1866378017889</v>
      </c>
    </row>
    <row r="128" spans="2:22" x14ac:dyDescent="0.35">
      <c r="B128" s="2">
        <f t="shared" si="41"/>
        <v>108</v>
      </c>
      <c r="C128" s="5">
        <f t="shared" si="33"/>
        <v>3.0209790209790213</v>
      </c>
      <c r="D128">
        <f t="shared" si="34"/>
        <v>-125</v>
      </c>
      <c r="E128" s="5" t="str">
        <f t="shared" si="35"/>
        <v/>
      </c>
      <c r="F128" s="15">
        <f t="shared" si="27"/>
        <v>15625</v>
      </c>
      <c r="G128" s="2">
        <f t="shared" si="28"/>
        <v>108</v>
      </c>
      <c r="H128" s="45">
        <f t="shared" si="29"/>
        <v>4.1938478199735574</v>
      </c>
      <c r="I128" s="45">
        <f t="shared" si="36"/>
        <v>452.93556455714418</v>
      </c>
      <c r="J128" s="46">
        <f t="shared" si="37"/>
        <v>11664</v>
      </c>
      <c r="K128" s="2"/>
      <c r="L128" s="2">
        <f t="shared" si="30"/>
        <v>108</v>
      </c>
      <c r="M128" s="18">
        <f t="shared" si="31"/>
        <v>-125</v>
      </c>
      <c r="N128" s="20">
        <v>0</v>
      </c>
      <c r="O128" s="18" cm="1">
        <f t="array" ref="O128">SUMPRODUCT(M$20:M$275*COS(2*PI()*L128/L$19*L$20:L$275)+N$20:N$275*SIN(2*PI()*L128/L$19*L$20:L$275))</f>
        <v>222.78119323418969</v>
      </c>
      <c r="P128" s="20" cm="1">
        <f t="array" ref="P128">SUMPRODUCT(N$20:N$275*COS(2*PI()*L127/L$19*L$20:L$275)+M$20:M$275*SIN(2*PI()*L128/L$19*L$20:L$275))</f>
        <v>50.340050645169761</v>
      </c>
      <c r="R128" s="2">
        <f t="shared" si="38"/>
        <v>108</v>
      </c>
      <c r="S128" s="54">
        <f t="shared" si="42"/>
        <v>15082.03125</v>
      </c>
      <c r="T128" s="28">
        <f t="shared" si="39"/>
        <v>0.89217912613230055</v>
      </c>
      <c r="V128" s="11">
        <f t="shared" si="40"/>
        <v>3511.2033090509503</v>
      </c>
    </row>
    <row r="129" spans="2:22" x14ac:dyDescent="0.35">
      <c r="B129" s="2">
        <f t="shared" si="41"/>
        <v>109</v>
      </c>
      <c r="C129" s="5" t="str">
        <f t="shared" si="33"/>
        <v/>
      </c>
      <c r="D129">
        <f t="shared" si="34"/>
        <v>-130</v>
      </c>
      <c r="E129" s="5" t="str">
        <f t="shared" si="35"/>
        <v/>
      </c>
      <c r="F129" s="15">
        <f t="shared" si="27"/>
        <v>16900</v>
      </c>
      <c r="G129" s="2">
        <f t="shared" si="28"/>
        <v>109</v>
      </c>
      <c r="H129" s="45">
        <f t="shared" si="29"/>
        <v>4.2279124017517482</v>
      </c>
      <c r="I129" s="45">
        <f t="shared" si="36"/>
        <v>460.84245179094057</v>
      </c>
      <c r="J129" s="46">
        <f t="shared" si="37"/>
        <v>11881</v>
      </c>
      <c r="K129" s="2"/>
      <c r="L129" s="2">
        <f t="shared" si="30"/>
        <v>109</v>
      </c>
      <c r="M129" s="18">
        <f t="shared" si="31"/>
        <v>-130</v>
      </c>
      <c r="N129" s="20">
        <v>0</v>
      </c>
      <c r="O129" s="18" cm="1">
        <f t="array" ref="O129">SUMPRODUCT(M$20:M$275*COS(2*PI()*L129/L$19*L$20:L$275)+N$20:N$275*SIN(2*PI()*L129/L$19*L$20:L$275))</f>
        <v>216.89471045773712</v>
      </c>
      <c r="P129" s="20" cm="1">
        <f t="array" ref="P129">SUMPRODUCT(N$20:N$275*COS(2*PI()*L128/L$19*L$20:L$275)+M$20:M$275*SIN(2*PI()*L129/L$19*L$20:L$275))</f>
        <v>64.344079497992169</v>
      </c>
      <c r="R129" s="2">
        <f t="shared" si="38"/>
        <v>109</v>
      </c>
      <c r="S129" s="54">
        <f t="shared" si="42"/>
        <v>15221.6796875</v>
      </c>
      <c r="T129" s="28">
        <f t="shared" si="39"/>
        <v>0.88374083510497736</v>
      </c>
      <c r="V129" s="11">
        <f t="shared" si="40"/>
        <v>3521.1317363298226</v>
      </c>
    </row>
    <row r="130" spans="2:22" x14ac:dyDescent="0.35">
      <c r="B130" s="2">
        <f t="shared" si="41"/>
        <v>110</v>
      </c>
      <c r="C130" s="5" t="str">
        <f t="shared" si="33"/>
        <v/>
      </c>
      <c r="D130">
        <f t="shared" si="34"/>
        <v>-110</v>
      </c>
      <c r="E130" s="5" t="str">
        <f t="shared" si="35"/>
        <v/>
      </c>
      <c r="F130" s="15">
        <f t="shared" si="27"/>
        <v>12100</v>
      </c>
      <c r="G130" s="2">
        <f t="shared" si="28"/>
        <v>110</v>
      </c>
      <c r="H130" s="45">
        <f t="shared" si="29"/>
        <v>4.0828212609393297</v>
      </c>
      <c r="I130" s="45">
        <f t="shared" si="36"/>
        <v>449.11033870332625</v>
      </c>
      <c r="J130" s="46">
        <f t="shared" si="37"/>
        <v>12100</v>
      </c>
      <c r="K130" s="2"/>
      <c r="L130" s="2">
        <f t="shared" si="30"/>
        <v>110</v>
      </c>
      <c r="M130" s="18">
        <f t="shared" si="31"/>
        <v>-110</v>
      </c>
      <c r="N130" s="20">
        <v>0</v>
      </c>
      <c r="O130" s="18" cm="1">
        <f t="array" ref="O130">SUMPRODUCT(M$20:M$275*COS(2*PI()*L130/L$19*L$20:L$275)+N$20:N$275*SIN(2*PI()*L130/L$19*L$20:L$275))</f>
        <v>200.73165955073512</v>
      </c>
      <c r="P130" s="20" cm="1">
        <f t="array" ref="P130">SUMPRODUCT(N$20:N$275*COS(2*PI()*L129/L$19*L$20:L$275)+M$20:M$275*SIN(2*PI()*L130/L$19*L$20:L$275))</f>
        <v>30.218243179884961</v>
      </c>
      <c r="R130" s="2">
        <f t="shared" si="38"/>
        <v>110</v>
      </c>
      <c r="S130" s="54">
        <f t="shared" si="42"/>
        <v>15361.328125</v>
      </c>
      <c r="T130" s="28">
        <f t="shared" si="39"/>
        <v>0.79294317006608417</v>
      </c>
      <c r="V130" s="11">
        <f t="shared" si="40"/>
        <v>3530.9734608780122</v>
      </c>
    </row>
    <row r="131" spans="2:22" x14ac:dyDescent="0.35">
      <c r="B131" s="2">
        <f t="shared" si="41"/>
        <v>111</v>
      </c>
      <c r="C131" s="5" t="str">
        <f t="shared" si="33"/>
        <v/>
      </c>
      <c r="D131">
        <f t="shared" si="34"/>
        <v>-68</v>
      </c>
      <c r="E131" s="5" t="str">
        <f t="shared" si="35"/>
        <v/>
      </c>
      <c r="F131" s="15">
        <f t="shared" si="27"/>
        <v>4624</v>
      </c>
      <c r="G131" s="2">
        <f t="shared" si="28"/>
        <v>111</v>
      </c>
      <c r="H131" s="45">
        <f t="shared" si="29"/>
        <v>3.6651117370750512</v>
      </c>
      <c r="I131" s="45">
        <f t="shared" si="36"/>
        <v>406.82740281533069</v>
      </c>
      <c r="J131" s="46">
        <f t="shared" si="37"/>
        <v>12321</v>
      </c>
      <c r="K131" s="2"/>
      <c r="L131" s="2">
        <f t="shared" si="30"/>
        <v>111</v>
      </c>
      <c r="M131" s="18">
        <f t="shared" si="31"/>
        <v>-68</v>
      </c>
      <c r="N131" s="20">
        <v>0</v>
      </c>
      <c r="O131" s="18" cm="1">
        <f t="array" ref="O131">SUMPRODUCT(M$20:M$275*COS(2*PI()*L131/L$19*L$20:L$275)+N$20:N$275*SIN(2*PI()*L131/L$19*L$20:L$275))</f>
        <v>189.13083458066205</v>
      </c>
      <c r="P131" s="20" cm="1">
        <f t="array" ref="P131">SUMPRODUCT(N$20:N$275*COS(2*PI()*L130/L$19*L$20:L$275)+M$20:M$275*SIN(2*PI()*L131/L$19*L$20:L$275))</f>
        <v>49.396017187597963</v>
      </c>
      <c r="R131" s="2">
        <f t="shared" si="38"/>
        <v>111</v>
      </c>
      <c r="S131" s="54">
        <f t="shared" si="42"/>
        <v>15500.9765625</v>
      </c>
      <c r="T131" s="28">
        <f t="shared" si="39"/>
        <v>0.7635738538352741</v>
      </c>
      <c r="V131" s="11">
        <f t="shared" si="40"/>
        <v>3540.7299839062775</v>
      </c>
    </row>
    <row r="132" spans="2:22" x14ac:dyDescent="0.35">
      <c r="B132" s="2">
        <f t="shared" si="41"/>
        <v>112</v>
      </c>
      <c r="C132" s="5" t="str">
        <f t="shared" si="33"/>
        <v/>
      </c>
      <c r="D132">
        <f t="shared" si="34"/>
        <v>-10</v>
      </c>
      <c r="E132" s="5" t="str">
        <f t="shared" si="35"/>
        <v/>
      </c>
      <c r="F132" s="15">
        <f t="shared" si="27"/>
        <v>100</v>
      </c>
      <c r="G132" s="2">
        <f t="shared" si="28"/>
        <v>112</v>
      </c>
      <c r="H132" s="45">
        <f t="shared" si="29"/>
        <v>2.0043213737826426</v>
      </c>
      <c r="I132" s="45">
        <f t="shared" si="36"/>
        <v>224.48399386365597</v>
      </c>
      <c r="J132" s="46">
        <f t="shared" si="37"/>
        <v>12544</v>
      </c>
      <c r="K132" s="2"/>
      <c r="L132" s="2">
        <f t="shared" si="30"/>
        <v>112</v>
      </c>
      <c r="M132" s="18">
        <f t="shared" si="31"/>
        <v>-10</v>
      </c>
      <c r="N132" s="20">
        <v>0</v>
      </c>
      <c r="O132" s="18" cm="1">
        <f t="array" ref="O132">SUMPRODUCT(M$20:M$275*COS(2*PI()*L132/L$19*L$20:L$275)+N$20:N$275*SIN(2*PI()*L132/L$19*L$20:L$275))</f>
        <v>203.82618961156612</v>
      </c>
      <c r="P132" s="20" cm="1">
        <f t="array" ref="P132">SUMPRODUCT(N$20:N$275*COS(2*PI()*L131/L$19*L$20:L$275)+M$20:M$275*SIN(2*PI()*L132/L$19*L$20:L$275))</f>
        <v>44.103475459768553</v>
      </c>
      <c r="R132" s="2">
        <f t="shared" si="38"/>
        <v>112</v>
      </c>
      <c r="S132" s="54">
        <f t="shared" si="42"/>
        <v>15640.625</v>
      </c>
      <c r="T132" s="28">
        <f t="shared" si="39"/>
        <v>0.81462155519360213</v>
      </c>
      <c r="V132" s="11">
        <f t="shared" si="40"/>
        <v>3550.4027679708042</v>
      </c>
    </row>
    <row r="133" spans="2:22" x14ac:dyDescent="0.35">
      <c r="B133" s="2">
        <f t="shared" si="41"/>
        <v>113</v>
      </c>
      <c r="C133" s="5" t="str">
        <f t="shared" si="33"/>
        <v/>
      </c>
      <c r="D133">
        <f t="shared" si="34"/>
        <v>42</v>
      </c>
      <c r="E133" s="5">
        <f t="shared" si="35"/>
        <v>1</v>
      </c>
      <c r="F133" s="15">
        <f t="shared" si="27"/>
        <v>1764</v>
      </c>
      <c r="G133" s="2">
        <f t="shared" si="28"/>
        <v>113</v>
      </c>
      <c r="H133" s="45">
        <f t="shared" si="29"/>
        <v>3.2467447097238415</v>
      </c>
      <c r="I133" s="45">
        <f t="shared" si="36"/>
        <v>366.88215219879407</v>
      </c>
      <c r="J133" s="46">
        <f t="shared" si="37"/>
        <v>12769</v>
      </c>
      <c r="K133" s="2"/>
      <c r="L133" s="2">
        <f t="shared" si="30"/>
        <v>113</v>
      </c>
      <c r="M133" s="18">
        <f t="shared" si="31"/>
        <v>42</v>
      </c>
      <c r="N133" s="20">
        <v>0</v>
      </c>
      <c r="O133" s="18" cm="1">
        <f t="array" ref="O133">SUMPRODUCT(M$20:M$275*COS(2*PI()*L133/L$19*L$20:L$275)+N$20:N$275*SIN(2*PI()*L133/L$19*L$20:L$275))</f>
        <v>209.8732921504691</v>
      </c>
      <c r="P133" s="20" cm="1">
        <f t="array" ref="P133">SUMPRODUCT(N$20:N$275*COS(2*PI()*L132/L$19*L$20:L$275)+M$20:M$275*SIN(2*PI()*L133/L$19*L$20:L$275))</f>
        <v>65.663395287662425</v>
      </c>
      <c r="R133" s="2">
        <f t="shared" si="38"/>
        <v>113</v>
      </c>
      <c r="S133" s="54">
        <f t="shared" si="42"/>
        <v>15780.2734375</v>
      </c>
      <c r="T133" s="28">
        <f t="shared" si="39"/>
        <v>0.85900631507959135</v>
      </c>
      <c r="V133" s="11">
        <f t="shared" si="40"/>
        <v>3559.9932382890029</v>
      </c>
    </row>
    <row r="134" spans="2:22" x14ac:dyDescent="0.35">
      <c r="B134" s="2">
        <f t="shared" si="41"/>
        <v>114</v>
      </c>
      <c r="C134" s="5" t="str">
        <f t="shared" si="33"/>
        <v/>
      </c>
      <c r="D134">
        <f t="shared" si="34"/>
        <v>44</v>
      </c>
      <c r="E134" s="5" t="str">
        <f t="shared" si="35"/>
        <v/>
      </c>
      <c r="F134" s="15">
        <f t="shared" si="27"/>
        <v>1936</v>
      </c>
      <c r="G134" s="2">
        <f t="shared" si="28"/>
        <v>114</v>
      </c>
      <c r="H134" s="45">
        <f t="shared" si="29"/>
        <v>3.287129620719111</v>
      </c>
      <c r="I134" s="45">
        <f t="shared" si="36"/>
        <v>374.73277676197864</v>
      </c>
      <c r="J134" s="46">
        <f t="shared" si="37"/>
        <v>12996</v>
      </c>
      <c r="K134" s="2"/>
      <c r="L134" s="2">
        <f t="shared" si="30"/>
        <v>114</v>
      </c>
      <c r="M134" s="18">
        <f t="shared" si="31"/>
        <v>44</v>
      </c>
      <c r="N134" s="20">
        <v>0</v>
      </c>
      <c r="O134" s="18" cm="1">
        <f t="array" ref="O134">SUMPRODUCT(M$20:M$275*COS(2*PI()*L134/L$19*L$20:L$275)+N$20:N$275*SIN(2*PI()*L134/L$19*L$20:L$275))</f>
        <v>206.01251051929793</v>
      </c>
      <c r="P134" s="20" cm="1">
        <f t="array" ref="P134">SUMPRODUCT(N$20:N$275*COS(2*PI()*L133/L$19*L$20:L$275)+M$20:M$275*SIN(2*PI()*L134/L$19*L$20:L$275))</f>
        <v>57.34560081639669</v>
      </c>
      <c r="R134" s="2">
        <f t="shared" si="38"/>
        <v>114</v>
      </c>
      <c r="S134" s="54">
        <f t="shared" si="42"/>
        <v>15919.921875</v>
      </c>
      <c r="T134" s="28">
        <f t="shared" si="39"/>
        <v>0.83533192528883937</v>
      </c>
      <c r="V134" s="11">
        <f t="shared" si="40"/>
        <v>3569.5027839997983</v>
      </c>
    </row>
    <row r="135" spans="2:22" x14ac:dyDescent="0.35">
      <c r="B135" s="2">
        <f t="shared" si="41"/>
        <v>115</v>
      </c>
      <c r="C135" s="5" t="str">
        <f t="shared" si="33"/>
        <v/>
      </c>
      <c r="D135">
        <f t="shared" si="34"/>
        <v>-4</v>
      </c>
      <c r="E135" s="5">
        <f t="shared" si="35"/>
        <v>1</v>
      </c>
      <c r="F135" s="15">
        <f t="shared" si="27"/>
        <v>16</v>
      </c>
      <c r="G135" s="2">
        <f t="shared" si="28"/>
        <v>115</v>
      </c>
      <c r="H135" s="45">
        <f t="shared" si="29"/>
        <v>1.2304489213782739</v>
      </c>
      <c r="I135" s="45">
        <f t="shared" si="36"/>
        <v>141.50162595850151</v>
      </c>
      <c r="J135" s="46">
        <f t="shared" si="37"/>
        <v>13225</v>
      </c>
      <c r="K135" s="2"/>
      <c r="L135" s="2">
        <f t="shared" si="30"/>
        <v>115</v>
      </c>
      <c r="M135" s="18">
        <f t="shared" si="31"/>
        <v>-4</v>
      </c>
      <c r="N135" s="20">
        <v>0</v>
      </c>
      <c r="O135" s="18" cm="1">
        <f t="array" ref="O135">SUMPRODUCT(M$20:M$275*COS(2*PI()*L135/L$19*L$20:L$275)+N$20:N$275*SIN(2*PI()*L135/L$19*L$20:L$275))</f>
        <v>174.0598642891816</v>
      </c>
      <c r="P135" s="20" cm="1">
        <f t="array" ref="P135">SUMPRODUCT(N$20:N$275*COS(2*PI()*L134/L$19*L$20:L$275)+M$20:M$275*SIN(2*PI()*L135/L$19*L$20:L$275))</f>
        <v>54.535707441937618</v>
      </c>
      <c r="R135" s="2">
        <f t="shared" si="38"/>
        <v>115</v>
      </c>
      <c r="S135" s="54">
        <f t="shared" si="42"/>
        <v>16059.5703125</v>
      </c>
      <c r="T135" s="28">
        <f t="shared" si="39"/>
        <v>0.71251306078867616</v>
      </c>
      <c r="V135" s="11">
        <f t="shared" si="40"/>
        <v>3578.9327593711814</v>
      </c>
    </row>
    <row r="136" spans="2:22" x14ac:dyDescent="0.35">
      <c r="B136" s="2">
        <f t="shared" si="41"/>
        <v>116</v>
      </c>
      <c r="C136" s="5" t="str">
        <f t="shared" si="33"/>
        <v/>
      </c>
      <c r="D136">
        <f t="shared" si="34"/>
        <v>-46</v>
      </c>
      <c r="E136" s="5" t="str">
        <f t="shared" si="35"/>
        <v/>
      </c>
      <c r="F136" s="15">
        <f t="shared" si="27"/>
        <v>2116</v>
      </c>
      <c r="G136" s="2">
        <f t="shared" si="28"/>
        <v>116</v>
      </c>
      <c r="H136" s="45">
        <f t="shared" si="29"/>
        <v>3.325720858019412</v>
      </c>
      <c r="I136" s="45">
        <f t="shared" si="36"/>
        <v>385.78361953025177</v>
      </c>
      <c r="J136" s="46">
        <f t="shared" si="37"/>
        <v>13456</v>
      </c>
      <c r="K136" s="2"/>
      <c r="L136" s="2">
        <f t="shared" si="30"/>
        <v>116</v>
      </c>
      <c r="M136" s="18">
        <f t="shared" si="31"/>
        <v>-46</v>
      </c>
      <c r="N136" s="20">
        <v>0</v>
      </c>
      <c r="O136" s="18" cm="1">
        <f t="array" ref="O136">SUMPRODUCT(M$20:M$275*COS(2*PI()*L136/L$19*L$20:L$275)+N$20:N$275*SIN(2*PI()*L136/L$19*L$20:L$275))</f>
        <v>198.04643373183575</v>
      </c>
      <c r="P136" s="20" cm="1">
        <f t="array" ref="P136">SUMPRODUCT(N$20:N$275*COS(2*PI()*L135/L$19*L$20:L$275)+M$20:M$275*SIN(2*PI()*L136/L$19*L$20:L$275))</f>
        <v>57.207387754189767</v>
      </c>
      <c r="R136" s="2">
        <f t="shared" si="38"/>
        <v>116</v>
      </c>
      <c r="S136" s="54">
        <f t="shared" si="42"/>
        <v>16199.21875</v>
      </c>
      <c r="T136" s="28">
        <f t="shared" si="39"/>
        <v>0.80524740767448411</v>
      </c>
      <c r="V136" s="11">
        <f t="shared" si="40"/>
        <v>3588.2844849576677</v>
      </c>
    </row>
    <row r="137" spans="2:22" x14ac:dyDescent="0.35">
      <c r="B137" s="2">
        <f t="shared" si="41"/>
        <v>117</v>
      </c>
      <c r="C137" s="5" t="str">
        <f t="shared" si="33"/>
        <v/>
      </c>
      <c r="D137">
        <f t="shared" si="34"/>
        <v>-22</v>
      </c>
      <c r="E137" s="5" t="str">
        <f t="shared" si="35"/>
        <v/>
      </c>
      <c r="F137" s="15">
        <f t="shared" si="27"/>
        <v>484</v>
      </c>
      <c r="G137" s="2">
        <f t="shared" si="28"/>
        <v>117</v>
      </c>
      <c r="H137" s="45">
        <f t="shared" si="29"/>
        <v>2.6857417386022635</v>
      </c>
      <c r="I137" s="45">
        <f t="shared" si="36"/>
        <v>314.23178341646485</v>
      </c>
      <c r="J137" s="46">
        <f t="shared" si="37"/>
        <v>13689</v>
      </c>
      <c r="K137" s="2"/>
      <c r="L137" s="2">
        <f t="shared" si="30"/>
        <v>117</v>
      </c>
      <c r="M137" s="18">
        <f t="shared" si="31"/>
        <v>-22</v>
      </c>
      <c r="N137" s="20">
        <v>0</v>
      </c>
      <c r="O137" s="18" cm="1">
        <f t="array" ref="O137">SUMPRODUCT(M$20:M$275*COS(2*PI()*L137/L$19*L$20:L$275)+N$20:N$275*SIN(2*PI()*L137/L$19*L$20:L$275))</f>
        <v>177.29581159132374</v>
      </c>
      <c r="P137" s="20" cm="1">
        <f t="array" ref="P137">SUMPRODUCT(N$20:N$275*COS(2*PI()*L136/L$19*L$20:L$275)+M$20:M$275*SIN(2*PI()*L137/L$19*L$20:L$275))</f>
        <v>49.401877834521272</v>
      </c>
      <c r="R137" s="2">
        <f t="shared" si="38"/>
        <v>117</v>
      </c>
      <c r="S137" s="54">
        <f t="shared" si="42"/>
        <v>16338.8671875</v>
      </c>
      <c r="T137" s="28">
        <f t="shared" si="39"/>
        <v>0.71894475899661114</v>
      </c>
      <c r="V137" s="11">
        <f t="shared" si="40"/>
        <v>3597.5592487101176</v>
      </c>
    </row>
    <row r="138" spans="2:22" x14ac:dyDescent="0.35">
      <c r="B138" s="2">
        <f t="shared" si="41"/>
        <v>118</v>
      </c>
      <c r="C138" s="5" t="str">
        <f t="shared" si="33"/>
        <v/>
      </c>
      <c r="D138">
        <f t="shared" si="34"/>
        <v>57</v>
      </c>
      <c r="E138" s="5">
        <f t="shared" si="35"/>
        <v>1</v>
      </c>
      <c r="F138" s="15">
        <f t="shared" si="27"/>
        <v>3249</v>
      </c>
      <c r="G138" s="2">
        <f t="shared" si="28"/>
        <v>118</v>
      </c>
      <c r="H138" s="45">
        <f t="shared" si="29"/>
        <v>3.5118833609788744</v>
      </c>
      <c r="I138" s="45">
        <f t="shared" si="36"/>
        <v>414.40223659550719</v>
      </c>
      <c r="J138" s="46">
        <f t="shared" si="37"/>
        <v>13924</v>
      </c>
      <c r="K138" s="2"/>
      <c r="L138" s="2">
        <f t="shared" si="30"/>
        <v>118</v>
      </c>
      <c r="M138" s="18">
        <f t="shared" si="31"/>
        <v>57</v>
      </c>
      <c r="N138" s="20">
        <v>0</v>
      </c>
      <c r="O138" s="18" cm="1">
        <f t="array" ref="O138">SUMPRODUCT(M$20:M$275*COS(2*PI()*L138/L$19*L$20:L$275)+N$20:N$275*SIN(2*PI()*L138/L$19*L$20:L$275))</f>
        <v>188.99476863823367</v>
      </c>
      <c r="P138" s="20" cm="1">
        <f t="array" ref="P138">SUMPRODUCT(N$20:N$275*COS(2*PI()*L137/L$19*L$20:L$275)+M$20:M$275*SIN(2*PI()*L138/L$19*L$20:L$275))</f>
        <v>22.961282422608235</v>
      </c>
      <c r="R138" s="2">
        <f t="shared" si="38"/>
        <v>118</v>
      </c>
      <c r="S138" s="54">
        <f t="shared" si="42"/>
        <v>16478.515625</v>
      </c>
      <c r="T138" s="28">
        <f t="shared" si="39"/>
        <v>0.74368930152860413</v>
      </c>
      <c r="V138" s="11">
        <f t="shared" si="40"/>
        <v>3606.7583070402725</v>
      </c>
    </row>
    <row r="139" spans="2:22" x14ac:dyDescent="0.35">
      <c r="B139" s="2">
        <f t="shared" si="41"/>
        <v>119</v>
      </c>
      <c r="C139" s="5" t="str">
        <f t="shared" si="33"/>
        <v/>
      </c>
      <c r="D139">
        <f t="shared" si="34"/>
        <v>125</v>
      </c>
      <c r="E139" s="5" t="str">
        <f t="shared" si="35"/>
        <v/>
      </c>
      <c r="F139" s="15">
        <f t="shared" si="27"/>
        <v>15625</v>
      </c>
      <c r="G139" s="2">
        <f t="shared" si="28"/>
        <v>119</v>
      </c>
      <c r="H139" s="45">
        <f t="shared" si="29"/>
        <v>4.1938478199735574</v>
      </c>
      <c r="I139" s="45">
        <f t="shared" si="36"/>
        <v>499.0678905768533</v>
      </c>
      <c r="J139" s="46">
        <f t="shared" si="37"/>
        <v>14161</v>
      </c>
      <c r="K139" s="2"/>
      <c r="L139" s="2">
        <f t="shared" si="30"/>
        <v>119</v>
      </c>
      <c r="M139" s="18">
        <f t="shared" si="31"/>
        <v>125</v>
      </c>
      <c r="N139" s="20">
        <v>0</v>
      </c>
      <c r="O139" s="18" cm="1">
        <f t="array" ref="O139">SUMPRODUCT(M$20:M$275*COS(2*PI()*L139/L$19*L$20:L$275)+N$20:N$275*SIN(2*PI()*L139/L$19*L$20:L$275))</f>
        <v>164.42267494143502</v>
      </c>
      <c r="P139" s="20" cm="1">
        <f t="array" ref="P139">SUMPRODUCT(N$20:N$275*COS(2*PI()*L138/L$19*L$20:L$275)+M$20:M$275*SIN(2*PI()*L139/L$19*L$20:L$275))</f>
        <v>5.3901678679116971</v>
      </c>
      <c r="R139" s="2">
        <f t="shared" si="38"/>
        <v>119</v>
      </c>
      <c r="S139" s="54">
        <f t="shared" si="42"/>
        <v>16618.1640625</v>
      </c>
      <c r="T139" s="28">
        <f t="shared" si="39"/>
        <v>0.64262110352733182</v>
      </c>
      <c r="V139" s="11">
        <f t="shared" si="40"/>
        <v>3615.8828858421844</v>
      </c>
    </row>
    <row r="140" spans="2:22" x14ac:dyDescent="0.35">
      <c r="B140" s="2">
        <f t="shared" si="41"/>
        <v>120</v>
      </c>
      <c r="C140" s="5" t="str">
        <f t="shared" si="33"/>
        <v/>
      </c>
      <c r="D140">
        <f t="shared" si="34"/>
        <v>151</v>
      </c>
      <c r="E140" s="5" t="str">
        <f t="shared" si="35"/>
        <v/>
      </c>
      <c r="F140" s="15">
        <f t="shared" si="27"/>
        <v>22801</v>
      </c>
      <c r="G140" s="2">
        <f t="shared" si="28"/>
        <v>120</v>
      </c>
      <c r="H140" s="45">
        <f t="shared" si="29"/>
        <v>4.3579729413368584</v>
      </c>
      <c r="I140" s="45">
        <f t="shared" si="36"/>
        <v>522.95675296042305</v>
      </c>
      <c r="J140" s="46">
        <f t="shared" si="37"/>
        <v>14400</v>
      </c>
      <c r="K140" s="2"/>
      <c r="L140" s="2">
        <f t="shared" si="30"/>
        <v>120</v>
      </c>
      <c r="M140" s="18">
        <f t="shared" si="31"/>
        <v>151</v>
      </c>
      <c r="N140" s="20">
        <v>0</v>
      </c>
      <c r="O140" s="18" cm="1">
        <f t="array" ref="O140">SUMPRODUCT(M$20:M$275*COS(2*PI()*L140/L$19*L$20:L$275)+N$20:N$275*SIN(2*PI()*L140/L$19*L$20:L$275))</f>
        <v>189.21165785458174</v>
      </c>
      <c r="P140" s="20" cm="1">
        <f t="array" ref="P140">SUMPRODUCT(N$20:N$275*COS(2*PI()*L139/L$19*L$20:L$275)+M$20:M$275*SIN(2*PI()*L140/L$19*L$20:L$275))</f>
        <v>25.152994477638689</v>
      </c>
      <c r="R140" s="2">
        <f t="shared" si="38"/>
        <v>120</v>
      </c>
      <c r="S140" s="54">
        <f t="shared" si="42"/>
        <v>16757.8125</v>
      </c>
      <c r="T140" s="28">
        <f t="shared" si="39"/>
        <v>0.74561016518117573</v>
      </c>
      <c r="V140" s="11">
        <f t="shared" si="40"/>
        <v>3624.9341814726322</v>
      </c>
    </row>
    <row r="141" spans="2:22" x14ac:dyDescent="0.35">
      <c r="B141" s="2">
        <f t="shared" si="41"/>
        <v>121</v>
      </c>
      <c r="C141" s="5" t="str">
        <f t="shared" si="33"/>
        <v/>
      </c>
      <c r="D141">
        <f t="shared" si="34"/>
        <v>147</v>
      </c>
      <c r="E141" s="5" t="str">
        <f t="shared" si="35"/>
        <v/>
      </c>
      <c r="F141" s="15">
        <f t="shared" si="27"/>
        <v>21609</v>
      </c>
      <c r="G141" s="2">
        <f t="shared" si="28"/>
        <v>121</v>
      </c>
      <c r="H141" s="45">
        <f t="shared" si="29"/>
        <v>4.3346547668832409</v>
      </c>
      <c r="I141" s="45">
        <f t="shared" si="36"/>
        <v>524.49322679287218</v>
      </c>
      <c r="J141" s="46">
        <f t="shared" si="37"/>
        <v>14641</v>
      </c>
      <c r="K141" s="2"/>
      <c r="L141" s="2">
        <f t="shared" si="30"/>
        <v>121</v>
      </c>
      <c r="M141" s="18">
        <f t="shared" si="31"/>
        <v>147</v>
      </c>
      <c r="N141" s="20">
        <v>0</v>
      </c>
      <c r="O141" s="18" cm="1">
        <f t="array" ref="O141">SUMPRODUCT(M$20:M$275*COS(2*PI()*L141/L$19*L$20:L$275)+N$20:N$275*SIN(2*PI()*L141/L$19*L$20:L$275))</f>
        <v>189.20707609751068</v>
      </c>
      <c r="P141" s="20" cm="1">
        <f t="array" ref="P141">SUMPRODUCT(N$20:N$275*COS(2*PI()*L140/L$19*L$20:L$275)+M$20:M$275*SIN(2*PI()*L141/L$19*L$20:L$275))</f>
        <v>24.517706899459636</v>
      </c>
      <c r="R141" s="2">
        <f t="shared" si="38"/>
        <v>121</v>
      </c>
      <c r="S141" s="54">
        <f t="shared" si="42"/>
        <v>16897.4609375</v>
      </c>
      <c r="T141" s="28">
        <f t="shared" si="39"/>
        <v>0.74526946036811981</v>
      </c>
      <c r="V141" s="11">
        <f t="shared" si="40"/>
        <v>3633.9133616924819</v>
      </c>
    </row>
    <row r="142" spans="2:22" x14ac:dyDescent="0.35">
      <c r="B142" s="2">
        <f t="shared" si="41"/>
        <v>122</v>
      </c>
      <c r="C142" s="5" t="str">
        <f t="shared" si="33"/>
        <v/>
      </c>
      <c r="D142">
        <f t="shared" si="34"/>
        <v>131</v>
      </c>
      <c r="E142" s="5" t="str">
        <f t="shared" si="35"/>
        <v/>
      </c>
      <c r="F142" s="15">
        <f t="shared" si="27"/>
        <v>17161</v>
      </c>
      <c r="G142" s="2">
        <f t="shared" si="28"/>
        <v>122</v>
      </c>
      <c r="H142" s="45">
        <f t="shared" si="29"/>
        <v>4.234567897635686</v>
      </c>
      <c r="I142" s="45">
        <f t="shared" si="36"/>
        <v>516.61728351155364</v>
      </c>
      <c r="J142" s="46">
        <f t="shared" si="37"/>
        <v>14884</v>
      </c>
      <c r="K142" s="2"/>
      <c r="L142" s="2">
        <f t="shared" si="30"/>
        <v>122</v>
      </c>
      <c r="M142" s="18">
        <f t="shared" si="31"/>
        <v>131</v>
      </c>
      <c r="N142" s="20">
        <v>0</v>
      </c>
      <c r="O142" s="18" cm="1">
        <f t="array" ref="O142">SUMPRODUCT(M$20:M$275*COS(2*PI()*L142/L$19*L$20:L$275)+N$20:N$275*SIN(2*PI()*L142/L$19*L$20:L$275))</f>
        <v>174.7925551573596</v>
      </c>
      <c r="P142" s="20" cm="1">
        <f t="array" ref="P142">SUMPRODUCT(N$20:N$275*COS(2*PI()*L141/L$19*L$20:L$275)+M$20:M$275*SIN(2*PI()*L142/L$19*L$20:L$275))</f>
        <v>2.1934459068088072</v>
      </c>
      <c r="R142" s="2">
        <f t="shared" si="38"/>
        <v>122</v>
      </c>
      <c r="S142" s="54">
        <f t="shared" si="42"/>
        <v>17037.109375</v>
      </c>
      <c r="T142" s="28">
        <f t="shared" si="39"/>
        <v>0.68283717667822719</v>
      </c>
      <c r="V142" s="11">
        <f t="shared" si="40"/>
        <v>3642.8215665708371</v>
      </c>
    </row>
    <row r="143" spans="2:22" x14ac:dyDescent="0.35">
      <c r="B143" s="2">
        <f t="shared" si="41"/>
        <v>123</v>
      </c>
      <c r="C143" s="5" t="str">
        <f t="shared" si="33"/>
        <v/>
      </c>
      <c r="D143">
        <f t="shared" si="34"/>
        <v>106</v>
      </c>
      <c r="E143" s="5" t="str">
        <f t="shared" si="35"/>
        <v/>
      </c>
      <c r="F143" s="15">
        <f t="shared" si="27"/>
        <v>11236</v>
      </c>
      <c r="G143" s="2">
        <f t="shared" si="28"/>
        <v>123</v>
      </c>
      <c r="H143" s="45">
        <f t="shared" si="29"/>
        <v>4.0506503808639138</v>
      </c>
      <c r="I143" s="45">
        <f t="shared" si="36"/>
        <v>498.22999684626143</v>
      </c>
      <c r="J143" s="46">
        <f t="shared" si="37"/>
        <v>15129</v>
      </c>
      <c r="K143" s="2"/>
      <c r="L143" s="2">
        <f t="shared" si="30"/>
        <v>123</v>
      </c>
      <c r="M143" s="18">
        <f t="shared" si="31"/>
        <v>106</v>
      </c>
      <c r="N143" s="20">
        <v>0</v>
      </c>
      <c r="O143" s="18" cm="1">
        <f t="array" ref="O143">SUMPRODUCT(M$20:M$275*COS(2*PI()*L143/L$19*L$20:L$275)+N$20:N$275*SIN(2*PI()*L143/L$19*L$20:L$275))</f>
        <v>167.9228527834068</v>
      </c>
      <c r="P143" s="20" cm="1">
        <f t="array" ref="P143">SUMPRODUCT(N$20:N$275*COS(2*PI()*L142/L$19*L$20:L$275)+M$20:M$275*SIN(2*PI()*L143/L$19*L$20:L$275))</f>
        <v>0.34020084580472226</v>
      </c>
      <c r="R143" s="2">
        <f t="shared" si="38"/>
        <v>123</v>
      </c>
      <c r="S143" s="54">
        <f t="shared" si="42"/>
        <v>17176.7578125</v>
      </c>
      <c r="T143" s="28">
        <f t="shared" si="39"/>
        <v>0.65594998982623165</v>
      </c>
      <c r="V143" s="11">
        <f t="shared" si="40"/>
        <v>3651.6599093537379</v>
      </c>
    </row>
    <row r="144" spans="2:22" x14ac:dyDescent="0.35">
      <c r="B144" s="2">
        <f t="shared" si="41"/>
        <v>124</v>
      </c>
      <c r="C144" s="5" t="str">
        <f t="shared" si="33"/>
        <v/>
      </c>
      <c r="D144">
        <f t="shared" si="34"/>
        <v>68</v>
      </c>
      <c r="E144" s="5" t="str">
        <f t="shared" si="35"/>
        <v/>
      </c>
      <c r="F144" s="15">
        <f t="shared" si="27"/>
        <v>4624</v>
      </c>
      <c r="G144" s="2">
        <f t="shared" si="28"/>
        <v>124</v>
      </c>
      <c r="H144" s="45">
        <f t="shared" si="29"/>
        <v>3.6651117370750512</v>
      </c>
      <c r="I144" s="45">
        <f t="shared" si="36"/>
        <v>454.47385539730635</v>
      </c>
      <c r="J144" s="46">
        <f t="shared" si="37"/>
        <v>15376</v>
      </c>
      <c r="K144" s="2"/>
      <c r="L144" s="2">
        <f t="shared" si="30"/>
        <v>124</v>
      </c>
      <c r="M144" s="18">
        <f t="shared" si="31"/>
        <v>68</v>
      </c>
      <c r="N144" s="20">
        <v>0</v>
      </c>
      <c r="O144" s="18" cm="1">
        <f t="array" ref="O144">SUMPRODUCT(M$20:M$275*COS(2*PI()*L144/L$19*L$20:L$275)+N$20:N$275*SIN(2*PI()*L144/L$19*L$20:L$275))</f>
        <v>180.62569547943718</v>
      </c>
      <c r="P144" s="20" cm="1">
        <f t="array" ref="P144">SUMPRODUCT(N$20:N$275*COS(2*PI()*L143/L$19*L$20:L$275)+M$20:M$275*SIN(2*PI()*L144/L$19*L$20:L$275))</f>
        <v>22.174298719379685</v>
      </c>
      <c r="R144" s="2">
        <f t="shared" si="38"/>
        <v>124</v>
      </c>
      <c r="S144" s="54">
        <f t="shared" si="42"/>
        <v>17316.40625</v>
      </c>
      <c r="T144" s="28">
        <f t="shared" si="39"/>
        <v>0.71086603984013896</v>
      </c>
      <c r="V144" s="11">
        <f t="shared" si="40"/>
        <v>3660.4294772990579</v>
      </c>
    </row>
    <row r="145" spans="2:22" x14ac:dyDescent="0.35">
      <c r="B145" s="2">
        <f t="shared" si="41"/>
        <v>125</v>
      </c>
      <c r="C145" s="5" t="str">
        <f t="shared" si="33"/>
        <v/>
      </c>
      <c r="D145">
        <f t="shared" si="34"/>
        <v>28</v>
      </c>
      <c r="E145" s="5" t="str">
        <f t="shared" si="35"/>
        <v/>
      </c>
      <c r="F145" s="15">
        <f t="shared" si="27"/>
        <v>784</v>
      </c>
      <c r="G145" s="2">
        <f t="shared" si="28"/>
        <v>125</v>
      </c>
      <c r="H145" s="45">
        <f t="shared" si="29"/>
        <v>2.8948696567452528</v>
      </c>
      <c r="I145" s="45">
        <f t="shared" si="36"/>
        <v>361.85870709315657</v>
      </c>
      <c r="J145" s="46">
        <f t="shared" si="37"/>
        <v>15625</v>
      </c>
      <c r="K145" s="2"/>
      <c r="L145" s="2">
        <f t="shared" si="30"/>
        <v>125</v>
      </c>
      <c r="M145" s="18">
        <f t="shared" si="31"/>
        <v>28</v>
      </c>
      <c r="N145" s="20">
        <v>0</v>
      </c>
      <c r="O145" s="18" cm="1">
        <f t="array" ref="O145">SUMPRODUCT(M$20:M$275*COS(2*PI()*L145/L$19*L$20:L$275)+N$20:N$275*SIN(2*PI()*L145/L$19*L$20:L$275))</f>
        <v>164.48558471162343</v>
      </c>
      <c r="P145" s="20" cm="1">
        <f t="array" ref="P145">SUMPRODUCT(N$20:N$275*COS(2*PI()*L144/L$19*L$20:L$275)+M$20:M$275*SIN(2*PI()*L145/L$19*L$20:L$275))</f>
        <v>1.8696816666305429</v>
      </c>
      <c r="R145" s="2">
        <f t="shared" si="38"/>
        <v>125</v>
      </c>
      <c r="S145" s="54">
        <f t="shared" si="42"/>
        <v>17456.0546875</v>
      </c>
      <c r="T145" s="28">
        <f t="shared" si="39"/>
        <v>0.64256332248645631</v>
      </c>
      <c r="V145" s="11">
        <f t="shared" si="40"/>
        <v>3669.1313324791731</v>
      </c>
    </row>
    <row r="146" spans="2:22" x14ac:dyDescent="0.35">
      <c r="B146" s="2">
        <f t="shared" si="41"/>
        <v>126</v>
      </c>
      <c r="C146" s="5" t="str">
        <f t="shared" si="33"/>
        <v/>
      </c>
      <c r="D146">
        <f t="shared" si="34"/>
        <v>5</v>
      </c>
      <c r="E146" s="5" t="str">
        <f t="shared" si="35"/>
        <v/>
      </c>
      <c r="F146" s="15">
        <f t="shared" si="27"/>
        <v>25</v>
      </c>
      <c r="G146" s="2">
        <f t="shared" si="28"/>
        <v>126</v>
      </c>
      <c r="H146" s="45">
        <f t="shared" si="29"/>
        <v>1.414973347970818</v>
      </c>
      <c r="I146" s="45">
        <f t="shared" si="36"/>
        <v>178.28664184432307</v>
      </c>
      <c r="J146" s="46">
        <f t="shared" si="37"/>
        <v>15876</v>
      </c>
      <c r="K146" s="2"/>
      <c r="L146" s="2">
        <f t="shared" si="30"/>
        <v>126</v>
      </c>
      <c r="M146" s="18">
        <f t="shared" si="31"/>
        <v>5</v>
      </c>
      <c r="N146" s="20">
        <v>0</v>
      </c>
      <c r="O146" s="18" cm="1">
        <f t="array" ref="O146">SUMPRODUCT(M$20:M$275*COS(2*PI()*L146/L$19*L$20:L$275)+N$20:N$275*SIN(2*PI()*L146/L$19*L$20:L$275))</f>
        <v>173.47395700468144</v>
      </c>
      <c r="P146" s="20" cm="1">
        <f t="array" ref="P146">SUMPRODUCT(N$20:N$275*COS(2*PI()*L145/L$19*L$20:L$275)+M$20:M$275*SIN(2*PI()*L146/L$19*L$20:L$275))</f>
        <v>0.44628218843684681</v>
      </c>
      <c r="R146" s="2">
        <f t="shared" si="38"/>
        <v>126</v>
      </c>
      <c r="S146" s="54">
        <f t="shared" si="42"/>
        <v>17595.703125</v>
      </c>
      <c r="T146" s="28">
        <f t="shared" si="39"/>
        <v>0.67763488695500385</v>
      </c>
      <c r="V146" s="11">
        <f t="shared" si="40"/>
        <v>3677.7665125528733</v>
      </c>
    </row>
    <row r="147" spans="2:22" x14ac:dyDescent="0.35">
      <c r="B147" s="2">
        <f t="shared" si="41"/>
        <v>127</v>
      </c>
      <c r="C147" s="5" t="str">
        <f t="shared" si="33"/>
        <v/>
      </c>
      <c r="D147">
        <f t="shared" si="34"/>
        <v>5</v>
      </c>
      <c r="E147" s="5" t="str">
        <f t="shared" si="35"/>
        <v/>
      </c>
      <c r="F147" s="15">
        <f t="shared" si="27"/>
        <v>25</v>
      </c>
      <c r="G147" s="2">
        <f t="shared" si="28"/>
        <v>127</v>
      </c>
      <c r="H147" s="45">
        <f t="shared" si="29"/>
        <v>1.414973347970818</v>
      </c>
      <c r="I147" s="45">
        <f t="shared" si="36"/>
        <v>179.70161519229387</v>
      </c>
      <c r="J147" s="46">
        <f t="shared" si="37"/>
        <v>16129</v>
      </c>
      <c r="K147" s="2"/>
      <c r="L147" s="2">
        <f t="shared" si="30"/>
        <v>127</v>
      </c>
      <c r="M147" s="18">
        <f t="shared" si="31"/>
        <v>5</v>
      </c>
      <c r="N147" s="20">
        <v>0</v>
      </c>
      <c r="O147" s="18" cm="1">
        <f t="array" ref="O147">SUMPRODUCT(M$20:M$275*COS(2*PI()*L147/L$19*L$20:L$275)+N$20:N$275*SIN(2*PI()*L147/L$19*L$20:L$275))</f>
        <v>193.33892931009103</v>
      </c>
      <c r="P147" s="20" cm="1">
        <f t="array" ref="P147">SUMPRODUCT(N$20:N$275*COS(2*PI()*L146/L$19*L$20:L$275)+M$20:M$275*SIN(2*PI()*L147/L$19*L$20:L$275))</f>
        <v>-15.989307397514288</v>
      </c>
      <c r="R147" s="2">
        <f t="shared" si="38"/>
        <v>127</v>
      </c>
      <c r="S147" s="54">
        <f t="shared" si="42"/>
        <v>17735.3515625</v>
      </c>
      <c r="T147" s="28">
        <f t="shared" si="39"/>
        <v>0.75780846827439707</v>
      </c>
      <c r="V147" s="11">
        <f t="shared" si="40"/>
        <v>3686.3360315079281</v>
      </c>
    </row>
    <row r="148" spans="2:22" x14ac:dyDescent="0.35">
      <c r="B148" s="2">
        <f t="shared" si="41"/>
        <v>128</v>
      </c>
      <c r="C148" s="5" t="str">
        <f t="shared" si="33"/>
        <v/>
      </c>
      <c r="D148">
        <f t="shared" si="34"/>
        <v>17</v>
      </c>
      <c r="E148" s="5" t="str">
        <f t="shared" si="35"/>
        <v/>
      </c>
      <c r="F148" s="15">
        <f t="shared" ref="F148:F211" si="43">D148*D148</f>
        <v>289</v>
      </c>
      <c r="G148" s="2">
        <f t="shared" ref="G148:G211" si="44">B148</f>
        <v>128</v>
      </c>
      <c r="H148" s="45">
        <f t="shared" ref="H148:H211" si="45">LOG10(1 + F148)</f>
        <v>2.4623979978989561</v>
      </c>
      <c r="I148" s="45">
        <f t="shared" si="36"/>
        <v>315.18694373106638</v>
      </c>
      <c r="J148" s="46">
        <f t="shared" si="37"/>
        <v>16384</v>
      </c>
      <c r="K148" s="2"/>
      <c r="L148" s="2">
        <f t="shared" ref="L148:L211" si="46">B148</f>
        <v>128</v>
      </c>
      <c r="M148" s="18">
        <f t="shared" ref="M148:M211" si="47">D148</f>
        <v>17</v>
      </c>
      <c r="N148" s="20">
        <v>0</v>
      </c>
      <c r="O148" s="18" cm="1">
        <f t="array" ref="O148">SUMPRODUCT(M$20:M$275*COS(2*PI()*L148/L$19*L$20:L$275)+N$20:N$275*SIN(2*PI()*L148/L$19*L$20:L$275))</f>
        <v>198</v>
      </c>
      <c r="P148" s="20" cm="1">
        <f t="array" ref="P148">SUMPRODUCT(N$20:N$275*COS(2*PI()*L147/L$19*L$20:L$275)+M$20:M$275*SIN(2*PI()*L148/L$19*L$20:L$275))</f>
        <v>-2.748366595070606E-11</v>
      </c>
      <c r="R148" s="2">
        <f t="shared" si="38"/>
        <v>128</v>
      </c>
      <c r="S148" s="54">
        <f t="shared" ref="S148" si="48">R148*T$14/L$19</f>
        <v>17875</v>
      </c>
      <c r="T148" s="28">
        <f t="shared" si="39"/>
        <v>0.7734375</v>
      </c>
      <c r="V148" s="11">
        <f t="shared" si="40"/>
        <v>3694.8408803756338</v>
      </c>
    </row>
    <row r="149" spans="2:22" x14ac:dyDescent="0.35">
      <c r="B149" s="2">
        <f t="shared" si="41"/>
        <v>129</v>
      </c>
      <c r="C149" s="5" t="str">
        <f t="shared" ref="C149:C212" si="49">IF(INT(B149/$T$14*1000) = INT(B148/$T$14*1000),"",B149/$T$14*1000)</f>
        <v/>
      </c>
      <c r="D149">
        <f t="shared" ref="D149:D212" si="50">INT(MID(A$3,FIND("#", SUBSTITUTE(A$3, ",", "#", B149)) + 1, FIND("#", SUBSTITUTE(A$3, ",", "#", B149+1)) - FIND("#", SUBSTITUTE(A$3, ",", "#", B149))-1))</f>
        <v>10</v>
      </c>
      <c r="E149" s="5" t="str">
        <f t="shared" ref="E149:E212" si="51">IF(SIGN(D149)&lt;&gt;SIGN(D148),1,"")</f>
        <v/>
      </c>
      <c r="F149" s="15">
        <f t="shared" si="43"/>
        <v>100</v>
      </c>
      <c r="G149" s="2">
        <f t="shared" si="44"/>
        <v>129</v>
      </c>
      <c r="H149" s="45">
        <f t="shared" si="45"/>
        <v>2.0043213737826426</v>
      </c>
      <c r="I149" s="45">
        <f t="shared" ref="I149:I212" si="52">G149*H149</f>
        <v>258.55745721796092</v>
      </c>
      <c r="J149" s="46">
        <f t="shared" ref="J149:J212" si="53">G149*G149</f>
        <v>16641</v>
      </c>
      <c r="K149" s="2"/>
      <c r="L149" s="2">
        <f t="shared" si="46"/>
        <v>129</v>
      </c>
      <c r="M149" s="18">
        <f t="shared" si="47"/>
        <v>10</v>
      </c>
      <c r="N149" s="20">
        <v>0</v>
      </c>
      <c r="O149" s="18" cm="1">
        <f t="array" ref="O149">SUMPRODUCT(M$20:M$275*COS(2*PI()*L149/L$19*L$20:L$275)+N$20:N$275*SIN(2*PI()*L149/L$19*L$20:L$275))</f>
        <v>193.33892931002686</v>
      </c>
      <c r="P149" s="20" cm="1">
        <f t="array" ref="P149">SUMPRODUCT(N$20:N$275*COS(2*PI()*L148/L$19*L$20:L$275)+M$20:M$275*SIN(2*PI()*L149/L$19*L$20:L$275))</f>
        <v>15.989307397481129</v>
      </c>
      <c r="R149" s="2"/>
      <c r="S149" s="2"/>
    </row>
    <row r="150" spans="2:22" x14ac:dyDescent="0.35">
      <c r="B150" s="2">
        <f t="shared" si="41"/>
        <v>130</v>
      </c>
      <c r="C150" s="5" t="str">
        <f t="shared" si="49"/>
        <v/>
      </c>
      <c r="D150">
        <f t="shared" si="50"/>
        <v>-27</v>
      </c>
      <c r="E150" s="5">
        <f t="shared" si="51"/>
        <v>1</v>
      </c>
      <c r="F150" s="15">
        <f t="shared" si="43"/>
        <v>729</v>
      </c>
      <c r="G150" s="2">
        <f t="shared" si="44"/>
        <v>130</v>
      </c>
      <c r="H150" s="45">
        <f t="shared" si="45"/>
        <v>2.8633228601204559</v>
      </c>
      <c r="I150" s="45">
        <f t="shared" si="52"/>
        <v>372.23197181565928</v>
      </c>
      <c r="J150" s="46">
        <f t="shared" si="53"/>
        <v>16900</v>
      </c>
      <c r="K150" s="2"/>
      <c r="L150" s="2">
        <f t="shared" si="46"/>
        <v>130</v>
      </c>
      <c r="M150" s="18">
        <f t="shared" si="47"/>
        <v>-27</v>
      </c>
      <c r="N150" s="20">
        <v>0</v>
      </c>
      <c r="O150" s="18" cm="1">
        <f t="array" ref="O150">SUMPRODUCT(M$20:M$275*COS(2*PI()*L150/L$19*L$20:L$275)+N$20:N$275*SIN(2*PI()*L150/L$19*L$20:L$275))</f>
        <v>173.47395700464972</v>
      </c>
      <c r="P150" s="20" cm="1">
        <f t="array" ref="P150">SUMPRODUCT(N$20:N$275*COS(2*PI()*L149/L$19*L$20:L$275)+M$20:M$275*SIN(2*PI()*L150/L$19*L$20:L$275))</f>
        <v>-0.44628218847870582</v>
      </c>
      <c r="R150" s="2"/>
      <c r="S150" s="2"/>
    </row>
    <row r="151" spans="2:22" x14ac:dyDescent="0.35">
      <c r="B151" s="2">
        <f t="shared" si="41"/>
        <v>131</v>
      </c>
      <c r="C151" s="5" t="str">
        <f t="shared" si="49"/>
        <v/>
      </c>
      <c r="D151">
        <f t="shared" si="50"/>
        <v>-87</v>
      </c>
      <c r="E151" s="5" t="str">
        <f t="shared" si="51"/>
        <v/>
      </c>
      <c r="F151" s="15">
        <f t="shared" si="43"/>
        <v>7569</v>
      </c>
      <c r="G151" s="2">
        <f t="shared" si="44"/>
        <v>131</v>
      </c>
      <c r="H151" s="45">
        <f t="shared" si="45"/>
        <v>3.8790958795000727</v>
      </c>
      <c r="I151" s="45">
        <f t="shared" si="52"/>
        <v>508.16156021450951</v>
      </c>
      <c r="J151" s="46">
        <f t="shared" si="53"/>
        <v>17161</v>
      </c>
      <c r="K151" s="2"/>
      <c r="L151" s="2">
        <f t="shared" si="46"/>
        <v>131</v>
      </c>
      <c r="M151" s="18">
        <f t="shared" si="47"/>
        <v>-87</v>
      </c>
      <c r="N151" s="20">
        <v>0</v>
      </c>
      <c r="O151" s="18" cm="1">
        <f t="array" ref="O151">SUMPRODUCT(M$20:M$275*COS(2*PI()*L151/L$19*L$20:L$275)+N$20:N$275*SIN(2*PI()*L151/L$19*L$20:L$275))</f>
        <v>164.48558471163486</v>
      </c>
      <c r="P151" s="20" cm="1">
        <f t="array" ref="P151">SUMPRODUCT(N$20:N$275*COS(2*PI()*L150/L$19*L$20:L$275)+M$20:M$275*SIN(2*PI()*L151/L$19*L$20:L$275))</f>
        <v>-1.8696816666034424</v>
      </c>
      <c r="R151" s="2"/>
      <c r="S151" s="2"/>
    </row>
    <row r="152" spans="2:22" x14ac:dyDescent="0.35">
      <c r="B152" s="2">
        <f t="shared" si="41"/>
        <v>132</v>
      </c>
      <c r="C152" s="5" t="str">
        <f t="shared" si="49"/>
        <v/>
      </c>
      <c r="D152">
        <f t="shared" si="50"/>
        <v>-131</v>
      </c>
      <c r="E152" s="5" t="str">
        <f t="shared" si="51"/>
        <v/>
      </c>
      <c r="F152" s="15">
        <f t="shared" si="43"/>
        <v>17161</v>
      </c>
      <c r="G152" s="2">
        <f t="shared" si="44"/>
        <v>132</v>
      </c>
      <c r="H152" s="45">
        <f t="shared" si="45"/>
        <v>4.234567897635686</v>
      </c>
      <c r="I152" s="45">
        <f t="shared" si="52"/>
        <v>558.96296248791054</v>
      </c>
      <c r="J152" s="46">
        <f t="shared" si="53"/>
        <v>17424</v>
      </c>
      <c r="K152" s="2"/>
      <c r="L152" s="2">
        <f t="shared" si="46"/>
        <v>132</v>
      </c>
      <c r="M152" s="18">
        <f t="shared" si="47"/>
        <v>-131</v>
      </c>
      <c r="N152" s="20">
        <v>0</v>
      </c>
      <c r="O152" s="18" cm="1">
        <f t="array" ref="O152">SUMPRODUCT(M$20:M$275*COS(2*PI()*L152/L$19*L$20:L$275)+N$20:N$275*SIN(2*PI()*L152/L$19*L$20:L$275))</f>
        <v>180.62569547942931</v>
      </c>
      <c r="P152" s="20" cm="1">
        <f t="array" ref="P152">SUMPRODUCT(N$20:N$275*COS(2*PI()*L151/L$19*L$20:L$275)+M$20:M$275*SIN(2*PI()*L152/L$19*L$20:L$275))</f>
        <v>-22.174298719421341</v>
      </c>
      <c r="R152" s="2"/>
      <c r="S152" s="2"/>
    </row>
    <row r="153" spans="2:22" x14ac:dyDescent="0.35">
      <c r="B153" s="2">
        <f t="shared" si="41"/>
        <v>133</v>
      </c>
      <c r="C153" s="5" t="str">
        <f t="shared" si="49"/>
        <v/>
      </c>
      <c r="D153">
        <f t="shared" si="50"/>
        <v>-128</v>
      </c>
      <c r="E153" s="5" t="str">
        <f t="shared" si="51"/>
        <v/>
      </c>
      <c r="F153" s="15">
        <f t="shared" si="43"/>
        <v>16384</v>
      </c>
      <c r="G153" s="2">
        <f t="shared" si="44"/>
        <v>133</v>
      </c>
      <c r="H153" s="45">
        <f t="shared" si="45"/>
        <v>4.2144464457183943</v>
      </c>
      <c r="I153" s="45">
        <f t="shared" si="52"/>
        <v>560.5213772805464</v>
      </c>
      <c r="J153" s="46">
        <f t="shared" si="53"/>
        <v>17689</v>
      </c>
      <c r="K153" s="2"/>
      <c r="L153" s="2">
        <f t="shared" si="46"/>
        <v>133</v>
      </c>
      <c r="M153" s="18">
        <f t="shared" si="47"/>
        <v>-128</v>
      </c>
      <c r="N153" s="20">
        <v>0</v>
      </c>
      <c r="O153" s="18" cm="1">
        <f t="array" ref="O153">SUMPRODUCT(M$20:M$275*COS(2*PI()*L153/L$19*L$20:L$275)+N$20:N$275*SIN(2*PI()*L153/L$19*L$20:L$275))</f>
        <v>167.92285278342044</v>
      </c>
      <c r="P153" s="20" cm="1">
        <f t="array" ref="P153">SUMPRODUCT(N$20:N$275*COS(2*PI()*L152/L$19*L$20:L$275)+M$20:M$275*SIN(2*PI()*L153/L$19*L$20:L$275))</f>
        <v>-0.34020084582512261</v>
      </c>
    </row>
    <row r="154" spans="2:22" x14ac:dyDescent="0.35">
      <c r="B154" s="2">
        <f t="shared" si="41"/>
        <v>134</v>
      </c>
      <c r="C154" s="5" t="str">
        <f t="shared" si="49"/>
        <v/>
      </c>
      <c r="D154">
        <f t="shared" si="50"/>
        <v>-69</v>
      </c>
      <c r="E154" s="5" t="str">
        <f t="shared" si="51"/>
        <v/>
      </c>
      <c r="F154" s="15">
        <f t="shared" si="43"/>
        <v>4761</v>
      </c>
      <c r="G154" s="2">
        <f t="shared" si="44"/>
        <v>134</v>
      </c>
      <c r="H154" s="45">
        <f t="shared" si="45"/>
        <v>3.677789391068861</v>
      </c>
      <c r="I154" s="45">
        <f t="shared" si="52"/>
        <v>492.82377840322738</v>
      </c>
      <c r="J154" s="46">
        <f t="shared" si="53"/>
        <v>17956</v>
      </c>
      <c r="K154" s="2"/>
      <c r="L154" s="2">
        <f t="shared" si="46"/>
        <v>134</v>
      </c>
      <c r="M154" s="18">
        <f t="shared" si="47"/>
        <v>-69</v>
      </c>
      <c r="N154" s="20">
        <v>0</v>
      </c>
      <c r="O154" s="18" cm="1">
        <f t="array" ref="O154">SUMPRODUCT(M$20:M$275*COS(2*PI()*L154/L$19*L$20:L$275)+N$20:N$275*SIN(2*PI()*L154/L$19*L$20:L$275))</f>
        <v>174.79255515738737</v>
      </c>
      <c r="P154" s="20" cm="1">
        <f t="array" ref="P154">SUMPRODUCT(N$20:N$275*COS(2*PI()*L153/L$19*L$20:L$275)+M$20:M$275*SIN(2*PI()*L154/L$19*L$20:L$275))</f>
        <v>-2.193445906796982</v>
      </c>
    </row>
    <row r="155" spans="2:22" x14ac:dyDescent="0.35">
      <c r="B155" s="2">
        <f t="shared" si="41"/>
        <v>135</v>
      </c>
      <c r="C155" s="5" t="str">
        <f t="shared" si="49"/>
        <v/>
      </c>
      <c r="D155">
        <f t="shared" si="50"/>
        <v>-9</v>
      </c>
      <c r="E155" s="5" t="str">
        <f t="shared" si="51"/>
        <v/>
      </c>
      <c r="F155" s="15">
        <f t="shared" si="43"/>
        <v>81</v>
      </c>
      <c r="G155" s="2">
        <f t="shared" si="44"/>
        <v>135</v>
      </c>
      <c r="H155" s="45">
        <f t="shared" si="45"/>
        <v>1.9138138523837167</v>
      </c>
      <c r="I155" s="45">
        <f t="shared" si="52"/>
        <v>258.36487007180176</v>
      </c>
      <c r="J155" s="46">
        <f t="shared" si="53"/>
        <v>18225</v>
      </c>
      <c r="K155" s="2"/>
      <c r="L155" s="2">
        <f t="shared" si="46"/>
        <v>135</v>
      </c>
      <c r="M155" s="18">
        <f t="shared" si="47"/>
        <v>-9</v>
      </c>
      <c r="N155" s="20">
        <v>0</v>
      </c>
      <c r="O155" s="18" cm="1">
        <f t="array" ref="O155">SUMPRODUCT(M$20:M$275*COS(2*PI()*L155/L$19*L$20:L$275)+N$20:N$275*SIN(2*PI()*L155/L$19*L$20:L$275))</f>
        <v>189.20707609748649</v>
      </c>
      <c r="P155" s="20" cm="1">
        <f t="array" ref="P155">SUMPRODUCT(N$20:N$275*COS(2*PI()*L154/L$19*L$20:L$275)+M$20:M$275*SIN(2*PI()*L155/L$19*L$20:L$275))</f>
        <v>-24.517706899532964</v>
      </c>
    </row>
    <row r="156" spans="2:22" x14ac:dyDescent="0.35">
      <c r="B156" s="2">
        <f t="shared" si="41"/>
        <v>136</v>
      </c>
      <c r="C156" s="5" t="str">
        <f t="shared" si="49"/>
        <v/>
      </c>
      <c r="D156">
        <f t="shared" si="50"/>
        <v>9</v>
      </c>
      <c r="E156" s="5">
        <f t="shared" si="51"/>
        <v>1</v>
      </c>
      <c r="F156" s="15">
        <f t="shared" si="43"/>
        <v>81</v>
      </c>
      <c r="G156" s="2">
        <f t="shared" si="44"/>
        <v>136</v>
      </c>
      <c r="H156" s="45">
        <f t="shared" si="45"/>
        <v>1.9138138523837167</v>
      </c>
      <c r="I156" s="45">
        <f t="shared" si="52"/>
        <v>260.27868392418549</v>
      </c>
      <c r="J156" s="46">
        <f t="shared" si="53"/>
        <v>18496</v>
      </c>
      <c r="K156" s="2"/>
      <c r="L156" s="2">
        <f t="shared" si="46"/>
        <v>136</v>
      </c>
      <c r="M156" s="18">
        <f t="shared" si="47"/>
        <v>9</v>
      </c>
      <c r="N156" s="20">
        <v>0</v>
      </c>
      <c r="O156" s="18" cm="1">
        <f t="array" ref="O156">SUMPRODUCT(M$20:M$275*COS(2*PI()*L156/L$19*L$20:L$275)+N$20:N$275*SIN(2*PI()*L156/L$19*L$20:L$275))</f>
        <v>189.21165785460474</v>
      </c>
      <c r="P156" s="20" cm="1">
        <f t="array" ref="P156">SUMPRODUCT(N$20:N$275*COS(2*PI()*L155/L$19*L$20:L$275)+M$20:M$275*SIN(2*PI()*L156/L$19*L$20:L$275))</f>
        <v>-25.152994477660037</v>
      </c>
    </row>
    <row r="157" spans="2:22" x14ac:dyDescent="0.35">
      <c r="B157" s="2">
        <f t="shared" si="41"/>
        <v>137</v>
      </c>
      <c r="C157" s="5" t="str">
        <f t="shared" si="49"/>
        <v/>
      </c>
      <c r="D157">
        <f t="shared" si="50"/>
        <v>-15</v>
      </c>
      <c r="E157" s="5">
        <f t="shared" si="51"/>
        <v>1</v>
      </c>
      <c r="F157" s="15">
        <f t="shared" si="43"/>
        <v>225</v>
      </c>
      <c r="G157" s="2">
        <f t="shared" si="44"/>
        <v>137</v>
      </c>
      <c r="H157" s="45">
        <f t="shared" si="45"/>
        <v>2.3541084391474008</v>
      </c>
      <c r="I157" s="45">
        <f t="shared" si="52"/>
        <v>322.51285616319393</v>
      </c>
      <c r="J157" s="46">
        <f t="shared" si="53"/>
        <v>18769</v>
      </c>
      <c r="K157" s="2"/>
      <c r="L157" s="2">
        <f t="shared" si="46"/>
        <v>137</v>
      </c>
      <c r="M157" s="18">
        <f t="shared" si="47"/>
        <v>-15</v>
      </c>
      <c r="N157" s="20">
        <v>0</v>
      </c>
      <c r="O157" s="18" cm="1">
        <f t="array" ref="O157">SUMPRODUCT(M$20:M$275*COS(2*PI()*L157/L$19*L$20:L$275)+N$20:N$275*SIN(2*PI()*L157/L$19*L$20:L$275))</f>
        <v>164.42267494144178</v>
      </c>
      <c r="P157" s="20" cm="1">
        <f t="array" ref="P157">SUMPRODUCT(N$20:N$275*COS(2*PI()*L156/L$19*L$20:L$275)+M$20:M$275*SIN(2*PI()*L157/L$19*L$20:L$275))</f>
        <v>-5.3901678679319049</v>
      </c>
    </row>
    <row r="158" spans="2:22" x14ac:dyDescent="0.35">
      <c r="B158" s="2">
        <f t="shared" si="41"/>
        <v>138</v>
      </c>
      <c r="C158" s="5" t="str">
        <f t="shared" si="49"/>
        <v/>
      </c>
      <c r="D158">
        <f t="shared" si="50"/>
        <v>-73</v>
      </c>
      <c r="E158" s="5" t="str">
        <f t="shared" si="51"/>
        <v/>
      </c>
      <c r="F158" s="15">
        <f t="shared" si="43"/>
        <v>5329</v>
      </c>
      <c r="G158" s="2">
        <f t="shared" si="44"/>
        <v>138</v>
      </c>
      <c r="H158" s="45">
        <f t="shared" si="45"/>
        <v>3.7267272090265724</v>
      </c>
      <c r="I158" s="45">
        <f t="shared" si="52"/>
        <v>514.28835484566696</v>
      </c>
      <c r="J158" s="46">
        <f t="shared" si="53"/>
        <v>19044</v>
      </c>
      <c r="K158" s="2"/>
      <c r="L158" s="2">
        <f t="shared" si="46"/>
        <v>138</v>
      </c>
      <c r="M158" s="18">
        <f t="shared" si="47"/>
        <v>-73</v>
      </c>
      <c r="N158" s="20">
        <v>0</v>
      </c>
      <c r="O158" s="18" cm="1">
        <f t="array" ref="O158">SUMPRODUCT(M$20:M$275*COS(2*PI()*L158/L$19*L$20:L$275)+N$20:N$275*SIN(2*PI()*L158/L$19*L$20:L$275))</f>
        <v>188.99476863818745</v>
      </c>
      <c r="P158" s="20" cm="1">
        <f t="array" ref="P158">SUMPRODUCT(N$20:N$275*COS(2*PI()*L157/L$19*L$20:L$275)+M$20:M$275*SIN(2*PI()*L158/L$19*L$20:L$275))</f>
        <v>-22.961282422678529</v>
      </c>
    </row>
    <row r="159" spans="2:22" x14ac:dyDescent="0.35">
      <c r="B159" s="2">
        <f t="shared" si="41"/>
        <v>139</v>
      </c>
      <c r="C159" s="5" t="str">
        <f t="shared" si="49"/>
        <v/>
      </c>
      <c r="D159">
        <f t="shared" si="50"/>
        <v>-112</v>
      </c>
      <c r="E159" s="5" t="str">
        <f t="shared" si="51"/>
        <v/>
      </c>
      <c r="F159" s="15">
        <f t="shared" si="43"/>
        <v>12544</v>
      </c>
      <c r="G159" s="2">
        <f t="shared" si="44"/>
        <v>139</v>
      </c>
      <c r="H159" s="45">
        <f t="shared" si="45"/>
        <v>4.0984706656506296</v>
      </c>
      <c r="I159" s="45">
        <f t="shared" si="52"/>
        <v>569.68742252543746</v>
      </c>
      <c r="J159" s="46">
        <f t="shared" si="53"/>
        <v>19321</v>
      </c>
      <c r="K159" s="2"/>
      <c r="L159" s="2">
        <f t="shared" si="46"/>
        <v>139</v>
      </c>
      <c r="M159" s="18">
        <f t="shared" si="47"/>
        <v>-112</v>
      </c>
      <c r="N159" s="20">
        <v>0</v>
      </c>
      <c r="O159" s="18" cm="1">
        <f t="array" ref="O159">SUMPRODUCT(M$20:M$275*COS(2*PI()*L159/L$19*L$20:L$275)+N$20:N$275*SIN(2*PI()*L159/L$19*L$20:L$275))</f>
        <v>177.29581159131649</v>
      </c>
      <c r="P159" s="20" cm="1">
        <f t="array" ref="P159">SUMPRODUCT(N$20:N$275*COS(2*PI()*L158/L$19*L$20:L$275)+M$20:M$275*SIN(2*PI()*L159/L$19*L$20:L$275))</f>
        <v>-49.401877834531859</v>
      </c>
    </row>
    <row r="160" spans="2:22" x14ac:dyDescent="0.35">
      <c r="B160" s="2">
        <f t="shared" si="41"/>
        <v>140</v>
      </c>
      <c r="C160" s="5" t="str">
        <f t="shared" si="49"/>
        <v/>
      </c>
      <c r="D160">
        <f t="shared" si="50"/>
        <v>-115</v>
      </c>
      <c r="E160" s="5" t="str">
        <f t="shared" si="51"/>
        <v/>
      </c>
      <c r="F160" s="15">
        <f t="shared" si="43"/>
        <v>13225</v>
      </c>
      <c r="G160" s="2">
        <f t="shared" si="44"/>
        <v>140</v>
      </c>
      <c r="H160" s="45">
        <f t="shared" si="45"/>
        <v>4.1214285183679626</v>
      </c>
      <c r="I160" s="45">
        <f t="shared" si="52"/>
        <v>576.99999257151478</v>
      </c>
      <c r="J160" s="46">
        <f t="shared" si="53"/>
        <v>19600</v>
      </c>
      <c r="K160" s="2"/>
      <c r="L160" s="2">
        <f t="shared" si="46"/>
        <v>140</v>
      </c>
      <c r="M160" s="18">
        <f t="shared" si="47"/>
        <v>-115</v>
      </c>
      <c r="N160" s="20">
        <v>0</v>
      </c>
      <c r="O160" s="18" cm="1">
        <f t="array" ref="O160">SUMPRODUCT(M$20:M$275*COS(2*PI()*L160/L$19*L$20:L$275)+N$20:N$275*SIN(2*PI()*L160/L$19*L$20:L$275))</f>
        <v>198.04643373185559</v>
      </c>
      <c r="P160" s="20" cm="1">
        <f t="array" ref="P160">SUMPRODUCT(N$20:N$275*COS(2*PI()*L159/L$19*L$20:L$275)+M$20:M$275*SIN(2*PI()*L160/L$19*L$20:L$275))</f>
        <v>-57.207387754194272</v>
      </c>
    </row>
    <row r="161" spans="2:16" x14ac:dyDescent="0.35">
      <c r="B161" s="2">
        <f t="shared" si="41"/>
        <v>141</v>
      </c>
      <c r="C161" s="5" t="str">
        <f t="shared" si="49"/>
        <v/>
      </c>
      <c r="D161">
        <f t="shared" si="50"/>
        <v>-89</v>
      </c>
      <c r="E161" s="5" t="str">
        <f t="shared" si="51"/>
        <v/>
      </c>
      <c r="F161" s="15">
        <f t="shared" si="43"/>
        <v>7921</v>
      </c>
      <c r="G161" s="2">
        <f t="shared" si="44"/>
        <v>141</v>
      </c>
      <c r="H161" s="45">
        <f t="shared" si="45"/>
        <v>3.8988348380682742</v>
      </c>
      <c r="I161" s="45">
        <f t="shared" si="52"/>
        <v>549.73571216762662</v>
      </c>
      <c r="J161" s="46">
        <f t="shared" si="53"/>
        <v>19881</v>
      </c>
      <c r="K161" s="2"/>
      <c r="L161" s="2">
        <f t="shared" si="46"/>
        <v>141</v>
      </c>
      <c r="M161" s="18">
        <f t="shared" si="47"/>
        <v>-89</v>
      </c>
      <c r="N161" s="20">
        <v>0</v>
      </c>
      <c r="O161" s="18" cm="1">
        <f t="array" ref="O161">SUMPRODUCT(M$20:M$275*COS(2*PI()*L161/L$19*L$20:L$275)+N$20:N$275*SIN(2*PI()*L161/L$19*L$20:L$275))</f>
        <v>174.05986428919667</v>
      </c>
      <c r="P161" s="20" cm="1">
        <f t="array" ref="P161">SUMPRODUCT(N$20:N$275*COS(2*PI()*L160/L$19*L$20:L$275)+M$20:M$275*SIN(2*PI()*L161/L$19*L$20:L$275))</f>
        <v>-54.535707441880426</v>
      </c>
    </row>
    <row r="162" spans="2:16" x14ac:dyDescent="0.35">
      <c r="B162" s="2">
        <f t="shared" ref="B162:B206" si="54">B161+1</f>
        <v>142</v>
      </c>
      <c r="C162" s="5" t="str">
        <f t="shared" si="49"/>
        <v/>
      </c>
      <c r="D162">
        <f t="shared" si="50"/>
        <v>-61</v>
      </c>
      <c r="E162" s="5" t="str">
        <f t="shared" si="51"/>
        <v/>
      </c>
      <c r="F162" s="15">
        <f t="shared" si="43"/>
        <v>3721</v>
      </c>
      <c r="G162" s="2">
        <f t="shared" si="44"/>
        <v>142</v>
      </c>
      <c r="H162" s="45">
        <f t="shared" si="45"/>
        <v>3.570776368794748</v>
      </c>
      <c r="I162" s="45">
        <f t="shared" si="52"/>
        <v>507.05024436885424</v>
      </c>
      <c r="J162" s="46">
        <f t="shared" si="53"/>
        <v>20164</v>
      </c>
      <c r="K162" s="2"/>
      <c r="L162" s="2">
        <f t="shared" si="46"/>
        <v>142</v>
      </c>
      <c r="M162" s="18">
        <f t="shared" si="47"/>
        <v>-61</v>
      </c>
      <c r="N162" s="20">
        <v>0</v>
      </c>
      <c r="O162" s="18" cm="1">
        <f t="array" ref="O162">SUMPRODUCT(M$20:M$275*COS(2*PI()*L162/L$19*L$20:L$275)+N$20:N$275*SIN(2*PI()*L162/L$19*L$20:L$275))</f>
        <v>206.01251051929296</v>
      </c>
      <c r="P162" s="20" cm="1">
        <f t="array" ref="P162">SUMPRODUCT(N$20:N$275*COS(2*PI()*L161/L$19*L$20:L$275)+M$20:M$275*SIN(2*PI()*L162/L$19*L$20:L$275))</f>
        <v>-57.3456008164015</v>
      </c>
    </row>
    <row r="163" spans="2:16" x14ac:dyDescent="0.35">
      <c r="B163" s="2">
        <f t="shared" si="54"/>
        <v>143</v>
      </c>
      <c r="C163" s="5">
        <f t="shared" si="49"/>
        <v>4</v>
      </c>
      <c r="D163">
        <f t="shared" si="50"/>
        <v>-49</v>
      </c>
      <c r="E163" s="5" t="str">
        <f t="shared" si="51"/>
        <v/>
      </c>
      <c r="F163" s="15">
        <f t="shared" si="43"/>
        <v>2401</v>
      </c>
      <c r="G163" s="2">
        <f t="shared" si="44"/>
        <v>143</v>
      </c>
      <c r="H163" s="45">
        <f t="shared" si="45"/>
        <v>3.3805730030668872</v>
      </c>
      <c r="I163" s="45">
        <f t="shared" si="52"/>
        <v>483.42193943856489</v>
      </c>
      <c r="J163" s="46">
        <f t="shared" si="53"/>
        <v>20449</v>
      </c>
      <c r="K163" s="2"/>
      <c r="L163" s="2">
        <f t="shared" si="46"/>
        <v>143</v>
      </c>
      <c r="M163" s="18">
        <f t="shared" si="47"/>
        <v>-49</v>
      </c>
      <c r="N163" s="20">
        <v>0</v>
      </c>
      <c r="O163" s="18" cm="1">
        <f t="array" ref="O163">SUMPRODUCT(M$20:M$275*COS(2*PI()*L163/L$19*L$20:L$275)+N$20:N$275*SIN(2*PI()*L163/L$19*L$20:L$275))</f>
        <v>209.87329215047052</v>
      </c>
      <c r="P163" s="20" cm="1">
        <f t="array" ref="P163">SUMPRODUCT(N$20:N$275*COS(2*PI()*L162/L$19*L$20:L$275)+M$20:M$275*SIN(2*PI()*L163/L$19*L$20:L$275))</f>
        <v>-65.663395287596501</v>
      </c>
    </row>
    <row r="164" spans="2:16" x14ac:dyDescent="0.35">
      <c r="B164" s="2">
        <f t="shared" si="54"/>
        <v>144</v>
      </c>
      <c r="C164" s="5" t="str">
        <f t="shared" si="49"/>
        <v/>
      </c>
      <c r="D164">
        <f t="shared" si="50"/>
        <v>-39</v>
      </c>
      <c r="E164" s="5" t="str">
        <f t="shared" si="51"/>
        <v/>
      </c>
      <c r="F164" s="15">
        <f t="shared" si="43"/>
        <v>1521</v>
      </c>
      <c r="G164" s="2">
        <f t="shared" si="44"/>
        <v>144</v>
      </c>
      <c r="H164" s="45">
        <f t="shared" si="45"/>
        <v>3.182414652434554</v>
      </c>
      <c r="I164" s="45">
        <f t="shared" si="52"/>
        <v>458.26770995057575</v>
      </c>
      <c r="J164" s="46">
        <f t="shared" si="53"/>
        <v>20736</v>
      </c>
      <c r="K164" s="2"/>
      <c r="L164" s="2">
        <f t="shared" si="46"/>
        <v>144</v>
      </c>
      <c r="M164" s="18">
        <f t="shared" si="47"/>
        <v>-39</v>
      </c>
      <c r="N164" s="20">
        <v>0</v>
      </c>
      <c r="O164" s="18" cm="1">
        <f t="array" ref="O164">SUMPRODUCT(M$20:M$275*COS(2*PI()*L164/L$19*L$20:L$275)+N$20:N$275*SIN(2*PI()*L164/L$19*L$20:L$275))</f>
        <v>203.82618961152252</v>
      </c>
      <c r="P164" s="20" cm="1">
        <f t="array" ref="P164">SUMPRODUCT(N$20:N$275*COS(2*PI()*L163/L$19*L$20:L$275)+M$20:M$275*SIN(2*PI()*L164/L$19*L$20:L$275))</f>
        <v>-44.103475459767679</v>
      </c>
    </row>
    <row r="165" spans="2:16" x14ac:dyDescent="0.35">
      <c r="B165" s="2">
        <f t="shared" si="54"/>
        <v>145</v>
      </c>
      <c r="C165" s="5" t="str">
        <f t="shared" si="49"/>
        <v/>
      </c>
      <c r="D165">
        <f t="shared" si="50"/>
        <v>-10</v>
      </c>
      <c r="E165" s="5" t="str">
        <f t="shared" si="51"/>
        <v/>
      </c>
      <c r="F165" s="15">
        <f t="shared" si="43"/>
        <v>100</v>
      </c>
      <c r="G165" s="2">
        <f t="shared" si="44"/>
        <v>145</v>
      </c>
      <c r="H165" s="45">
        <f t="shared" si="45"/>
        <v>2.0043213737826426</v>
      </c>
      <c r="I165" s="45">
        <f t="shared" si="52"/>
        <v>290.62659919848318</v>
      </c>
      <c r="J165" s="46">
        <f t="shared" si="53"/>
        <v>21025</v>
      </c>
      <c r="K165" s="2"/>
      <c r="L165" s="2">
        <f t="shared" si="46"/>
        <v>145</v>
      </c>
      <c r="M165" s="18">
        <f t="shared" si="47"/>
        <v>-10</v>
      </c>
      <c r="N165" s="20">
        <v>0</v>
      </c>
      <c r="O165" s="18" cm="1">
        <f t="array" ref="O165">SUMPRODUCT(M$20:M$275*COS(2*PI()*L165/L$19*L$20:L$275)+N$20:N$275*SIN(2*PI()*L165/L$19*L$20:L$275))</f>
        <v>189.13083458063579</v>
      </c>
      <c r="P165" s="20" cm="1">
        <f t="array" ref="P165">SUMPRODUCT(N$20:N$275*COS(2*PI()*L164/L$19*L$20:L$275)+M$20:M$275*SIN(2*PI()*L165/L$19*L$20:L$275))</f>
        <v>-49.396017187588008</v>
      </c>
    </row>
    <row r="166" spans="2:16" x14ac:dyDescent="0.35">
      <c r="B166" s="2">
        <f t="shared" si="54"/>
        <v>146</v>
      </c>
      <c r="C166" s="5" t="str">
        <f t="shared" si="49"/>
        <v/>
      </c>
      <c r="D166">
        <f t="shared" si="50"/>
        <v>23</v>
      </c>
      <c r="E166" s="5">
        <f t="shared" si="51"/>
        <v>1</v>
      </c>
      <c r="F166" s="15">
        <f t="shared" si="43"/>
        <v>529</v>
      </c>
      <c r="G166" s="2">
        <f t="shared" si="44"/>
        <v>146</v>
      </c>
      <c r="H166" s="45">
        <f t="shared" si="45"/>
        <v>2.7242758696007892</v>
      </c>
      <c r="I166" s="45">
        <f t="shared" si="52"/>
        <v>397.74427696171523</v>
      </c>
      <c r="J166" s="46">
        <f t="shared" si="53"/>
        <v>21316</v>
      </c>
      <c r="K166" s="2"/>
      <c r="L166" s="2">
        <f t="shared" si="46"/>
        <v>146</v>
      </c>
      <c r="M166" s="18">
        <f t="shared" si="47"/>
        <v>23</v>
      </c>
      <c r="N166" s="20">
        <v>0</v>
      </c>
      <c r="O166" s="18" cm="1">
        <f t="array" ref="O166">SUMPRODUCT(M$20:M$275*COS(2*PI()*L166/L$19*L$20:L$275)+N$20:N$275*SIN(2*PI()*L166/L$19*L$20:L$275))</f>
        <v>200.7316595507898</v>
      </c>
      <c r="P166" s="20" cm="1">
        <f t="array" ref="P166">SUMPRODUCT(N$20:N$275*COS(2*PI()*L165/L$19*L$20:L$275)+M$20:M$275*SIN(2*PI()*L166/L$19*L$20:L$275))</f>
        <v>-30.218243179874712</v>
      </c>
    </row>
    <row r="167" spans="2:16" x14ac:dyDescent="0.35">
      <c r="B167" s="2">
        <f t="shared" si="54"/>
        <v>147</v>
      </c>
      <c r="C167" s="5" t="str">
        <f t="shared" si="49"/>
        <v/>
      </c>
      <c r="D167">
        <f t="shared" si="50"/>
        <v>45</v>
      </c>
      <c r="E167" s="5" t="str">
        <f t="shared" si="51"/>
        <v/>
      </c>
      <c r="F167" s="15">
        <f t="shared" si="43"/>
        <v>2025</v>
      </c>
      <c r="G167" s="2">
        <f t="shared" si="44"/>
        <v>147</v>
      </c>
      <c r="H167" s="45">
        <f t="shared" si="45"/>
        <v>3.3066394410242617</v>
      </c>
      <c r="I167" s="45">
        <f t="shared" si="52"/>
        <v>486.07599783056645</v>
      </c>
      <c r="J167" s="46">
        <f t="shared" si="53"/>
        <v>21609</v>
      </c>
      <c r="K167" s="2"/>
      <c r="L167" s="2">
        <f t="shared" si="46"/>
        <v>147</v>
      </c>
      <c r="M167" s="18">
        <f t="shared" si="47"/>
        <v>45</v>
      </c>
      <c r="N167" s="20">
        <v>0</v>
      </c>
      <c r="O167" s="18" cm="1">
        <f t="array" ref="O167">SUMPRODUCT(M$20:M$275*COS(2*PI()*L167/L$19*L$20:L$275)+N$20:N$275*SIN(2*PI()*L167/L$19*L$20:L$275))</f>
        <v>216.8947104577785</v>
      </c>
      <c r="P167" s="20" cm="1">
        <f t="array" ref="P167">SUMPRODUCT(N$20:N$275*COS(2*PI()*L166/L$19*L$20:L$275)+M$20:M$275*SIN(2*PI()*L167/L$19*L$20:L$275))</f>
        <v>-64.344079497926842</v>
      </c>
    </row>
    <row r="168" spans="2:16" x14ac:dyDescent="0.35">
      <c r="B168" s="2">
        <f t="shared" si="54"/>
        <v>148</v>
      </c>
      <c r="C168" s="5" t="str">
        <f t="shared" si="49"/>
        <v/>
      </c>
      <c r="D168">
        <f t="shared" si="50"/>
        <v>42</v>
      </c>
      <c r="E168" s="5" t="str">
        <f t="shared" si="51"/>
        <v/>
      </c>
      <c r="F168" s="15">
        <f t="shared" si="43"/>
        <v>1764</v>
      </c>
      <c r="G168" s="2">
        <f t="shared" si="44"/>
        <v>148</v>
      </c>
      <c r="H168" s="45">
        <f t="shared" si="45"/>
        <v>3.2467447097238415</v>
      </c>
      <c r="I168" s="45">
        <f t="shared" si="52"/>
        <v>480.51821703912856</v>
      </c>
      <c r="J168" s="46">
        <f t="shared" si="53"/>
        <v>21904</v>
      </c>
      <c r="K168" s="2"/>
      <c r="L168" s="2">
        <f t="shared" si="46"/>
        <v>148</v>
      </c>
      <c r="M168" s="18">
        <f t="shared" si="47"/>
        <v>42</v>
      </c>
      <c r="N168" s="20">
        <v>0</v>
      </c>
      <c r="O168" s="18" cm="1">
        <f t="array" ref="O168">SUMPRODUCT(M$20:M$275*COS(2*PI()*L168/L$19*L$20:L$275)+N$20:N$275*SIN(2*PI()*L168/L$19*L$20:L$275))</f>
        <v>222.78119323418579</v>
      </c>
      <c r="P168" s="20" cm="1">
        <f t="array" ref="P168">SUMPRODUCT(N$20:N$275*COS(2*PI()*L167/L$19*L$20:L$275)+M$20:M$275*SIN(2*PI()*L168/L$19*L$20:L$275))</f>
        <v>-50.340050645181293</v>
      </c>
    </row>
    <row r="169" spans="2:16" x14ac:dyDescent="0.35">
      <c r="B169" s="2">
        <f t="shared" si="54"/>
        <v>149</v>
      </c>
      <c r="C169" s="5" t="str">
        <f t="shared" si="49"/>
        <v/>
      </c>
      <c r="D169">
        <f t="shared" si="50"/>
        <v>15</v>
      </c>
      <c r="E169" s="5" t="str">
        <f t="shared" si="51"/>
        <v/>
      </c>
      <c r="F169" s="15">
        <f t="shared" si="43"/>
        <v>225</v>
      </c>
      <c r="G169" s="2">
        <f t="shared" si="44"/>
        <v>149</v>
      </c>
      <c r="H169" s="45">
        <f t="shared" si="45"/>
        <v>2.3541084391474008</v>
      </c>
      <c r="I169" s="45">
        <f t="shared" si="52"/>
        <v>350.76215743296274</v>
      </c>
      <c r="J169" s="46">
        <f t="shared" si="53"/>
        <v>22201</v>
      </c>
      <c r="K169" s="2"/>
      <c r="L169" s="2">
        <f t="shared" si="46"/>
        <v>149</v>
      </c>
      <c r="M169" s="18">
        <f t="shared" si="47"/>
        <v>15</v>
      </c>
      <c r="N169" s="20">
        <v>0</v>
      </c>
      <c r="O169" s="18" cm="1">
        <f t="array" ref="O169">SUMPRODUCT(M$20:M$275*COS(2*PI()*L169/L$19*L$20:L$275)+N$20:N$275*SIN(2*PI()*L169/L$19*L$20:L$275))</f>
        <v>187.81150893083998</v>
      </c>
      <c r="P169" s="20" cm="1">
        <f t="array" ref="P169">SUMPRODUCT(N$20:N$275*COS(2*PI()*L168/L$19*L$20:L$275)+M$20:M$275*SIN(2*PI()*L169/L$19*L$20:L$275))</f>
        <v>-59.661353798131238</v>
      </c>
    </row>
    <row r="170" spans="2:16" x14ac:dyDescent="0.35">
      <c r="B170" s="2">
        <f t="shared" si="54"/>
        <v>150</v>
      </c>
      <c r="C170" s="5" t="str">
        <f t="shared" si="49"/>
        <v/>
      </c>
      <c r="D170">
        <f t="shared" si="50"/>
        <v>-9</v>
      </c>
      <c r="E170" s="5">
        <f t="shared" si="51"/>
        <v>1</v>
      </c>
      <c r="F170" s="15">
        <f t="shared" si="43"/>
        <v>81</v>
      </c>
      <c r="G170" s="2">
        <f t="shared" si="44"/>
        <v>150</v>
      </c>
      <c r="H170" s="45">
        <f t="shared" si="45"/>
        <v>1.9138138523837167</v>
      </c>
      <c r="I170" s="45">
        <f t="shared" si="52"/>
        <v>287.07207785755753</v>
      </c>
      <c r="J170" s="46">
        <f t="shared" si="53"/>
        <v>22500</v>
      </c>
      <c r="K170" s="2"/>
      <c r="L170" s="2">
        <f t="shared" si="46"/>
        <v>150</v>
      </c>
      <c r="M170" s="18">
        <f t="shared" si="47"/>
        <v>-9</v>
      </c>
      <c r="N170" s="20">
        <v>0</v>
      </c>
      <c r="O170" s="18" cm="1">
        <f t="array" ref="O170">SUMPRODUCT(M$20:M$275*COS(2*PI()*L170/L$19*L$20:L$275)+N$20:N$275*SIN(2*PI()*L170/L$19*L$20:L$275))</f>
        <v>183.18580483800443</v>
      </c>
      <c r="P170" s="20" cm="1">
        <f t="array" ref="P170">SUMPRODUCT(N$20:N$275*COS(2*PI()*L169/L$19*L$20:L$275)+M$20:M$275*SIN(2*PI()*L170/L$19*L$20:L$275))</f>
        <v>-72.537462743342147</v>
      </c>
    </row>
    <row r="171" spans="2:16" x14ac:dyDescent="0.35">
      <c r="B171" s="2">
        <f t="shared" si="54"/>
        <v>151</v>
      </c>
      <c r="C171" s="5" t="str">
        <f t="shared" si="49"/>
        <v/>
      </c>
      <c r="D171">
        <f t="shared" si="50"/>
        <v>-23</v>
      </c>
      <c r="E171" s="5" t="str">
        <f t="shared" si="51"/>
        <v/>
      </c>
      <c r="F171" s="15">
        <f t="shared" si="43"/>
        <v>529</v>
      </c>
      <c r="G171" s="2">
        <f t="shared" si="44"/>
        <v>151</v>
      </c>
      <c r="H171" s="45">
        <f t="shared" si="45"/>
        <v>2.7242758696007892</v>
      </c>
      <c r="I171" s="45">
        <f t="shared" si="52"/>
        <v>411.36565630971916</v>
      </c>
      <c r="J171" s="46">
        <f t="shared" si="53"/>
        <v>22801</v>
      </c>
      <c r="K171" s="2"/>
      <c r="L171" s="2">
        <f t="shared" si="46"/>
        <v>151</v>
      </c>
      <c r="M171" s="18">
        <f t="shared" si="47"/>
        <v>-23</v>
      </c>
      <c r="N171" s="20">
        <v>0</v>
      </c>
      <c r="O171" s="18" cm="1">
        <f t="array" ref="O171">SUMPRODUCT(M$20:M$275*COS(2*PI()*L171/L$19*L$20:L$275)+N$20:N$275*SIN(2*PI()*L171/L$19*L$20:L$275))</f>
        <v>208.60314445516832</v>
      </c>
      <c r="P171" s="20" cm="1">
        <f t="array" ref="P171">SUMPRODUCT(N$20:N$275*COS(2*PI()*L170/L$19*L$20:L$275)+M$20:M$275*SIN(2*PI()*L171/L$19*L$20:L$275))</f>
        <v>-81.761705271389133</v>
      </c>
    </row>
    <row r="172" spans="2:16" x14ac:dyDescent="0.35">
      <c r="B172" s="2">
        <f t="shared" si="54"/>
        <v>152</v>
      </c>
      <c r="C172" s="5" t="str">
        <f t="shared" si="49"/>
        <v/>
      </c>
      <c r="D172">
        <f t="shared" si="50"/>
        <v>-31</v>
      </c>
      <c r="E172" s="5" t="str">
        <f t="shared" si="51"/>
        <v/>
      </c>
      <c r="F172" s="15">
        <f t="shared" si="43"/>
        <v>961</v>
      </c>
      <c r="G172" s="2">
        <f t="shared" si="44"/>
        <v>152</v>
      </c>
      <c r="H172" s="45">
        <f t="shared" si="45"/>
        <v>2.9831750720378132</v>
      </c>
      <c r="I172" s="45">
        <f t="shared" si="52"/>
        <v>453.44261094974763</v>
      </c>
      <c r="J172" s="46">
        <f t="shared" si="53"/>
        <v>23104</v>
      </c>
      <c r="K172" s="2"/>
      <c r="L172" s="2">
        <f t="shared" si="46"/>
        <v>152</v>
      </c>
      <c r="M172" s="18">
        <f t="shared" si="47"/>
        <v>-31</v>
      </c>
      <c r="N172" s="20">
        <v>0</v>
      </c>
      <c r="O172" s="18" cm="1">
        <f t="array" ref="O172">SUMPRODUCT(M$20:M$275*COS(2*PI()*L172/L$19*L$20:L$275)+N$20:N$275*SIN(2*PI()*L172/L$19*L$20:L$275))</f>
        <v>191.72617207917827</v>
      </c>
      <c r="P172" s="20" cm="1">
        <f t="array" ref="P172">SUMPRODUCT(N$20:N$275*COS(2*PI()*L171/L$19*L$20:L$275)+M$20:M$275*SIN(2*PI()*L172/L$19*L$20:L$275))</f>
        <v>-16.428640050287665</v>
      </c>
    </row>
    <row r="173" spans="2:16" x14ac:dyDescent="0.35">
      <c r="B173" s="2">
        <f t="shared" si="54"/>
        <v>153</v>
      </c>
      <c r="C173" s="5" t="str">
        <f t="shared" si="49"/>
        <v/>
      </c>
      <c r="D173">
        <f t="shared" si="50"/>
        <v>-41</v>
      </c>
      <c r="E173" s="5" t="str">
        <f t="shared" si="51"/>
        <v/>
      </c>
      <c r="F173" s="15">
        <f t="shared" si="43"/>
        <v>1681</v>
      </c>
      <c r="G173" s="2">
        <f t="shared" si="44"/>
        <v>153</v>
      </c>
      <c r="H173" s="45">
        <f t="shared" si="45"/>
        <v>3.2258259914618934</v>
      </c>
      <c r="I173" s="45">
        <f t="shared" si="52"/>
        <v>493.55137669366968</v>
      </c>
      <c r="J173" s="46">
        <f t="shared" si="53"/>
        <v>23409</v>
      </c>
      <c r="K173" s="2"/>
      <c r="L173" s="2">
        <f t="shared" si="46"/>
        <v>153</v>
      </c>
      <c r="M173" s="18">
        <f t="shared" si="47"/>
        <v>-41</v>
      </c>
      <c r="N173" s="20">
        <v>0</v>
      </c>
      <c r="O173" s="18" cm="1">
        <f t="array" ref="O173">SUMPRODUCT(M$20:M$275*COS(2*PI()*L173/L$19*L$20:L$275)+N$20:N$275*SIN(2*PI()*L173/L$19*L$20:L$275))</f>
        <v>151.23539771471775</v>
      </c>
      <c r="P173" s="20" cm="1">
        <f t="array" ref="P173">SUMPRODUCT(N$20:N$275*COS(2*PI()*L172/L$19*L$20:L$275)+M$20:M$275*SIN(2*PI()*L173/L$19*L$20:L$275))</f>
        <v>-23.951830560402204</v>
      </c>
    </row>
    <row r="174" spans="2:16" x14ac:dyDescent="0.35">
      <c r="B174" s="2">
        <f t="shared" si="54"/>
        <v>154</v>
      </c>
      <c r="C174" s="5" t="str">
        <f t="shared" si="49"/>
        <v/>
      </c>
      <c r="D174">
        <f t="shared" si="50"/>
        <v>-63</v>
      </c>
      <c r="E174" s="5" t="str">
        <f t="shared" si="51"/>
        <v/>
      </c>
      <c r="F174" s="15">
        <f t="shared" si="43"/>
        <v>3969</v>
      </c>
      <c r="G174" s="2">
        <f t="shared" si="44"/>
        <v>154</v>
      </c>
      <c r="H174" s="45">
        <f t="shared" si="45"/>
        <v>3.5987905067631152</v>
      </c>
      <c r="I174" s="45">
        <f t="shared" si="52"/>
        <v>554.21373804151972</v>
      </c>
      <c r="J174" s="46">
        <f t="shared" si="53"/>
        <v>23716</v>
      </c>
      <c r="K174" s="2"/>
      <c r="L174" s="2">
        <f t="shared" si="46"/>
        <v>154</v>
      </c>
      <c r="M174" s="18">
        <f t="shared" si="47"/>
        <v>-63</v>
      </c>
      <c r="N174" s="20">
        <v>0</v>
      </c>
      <c r="O174" s="18" cm="1">
        <f t="array" ref="O174">SUMPRODUCT(M$20:M$275*COS(2*PI()*L174/L$19*L$20:L$275)+N$20:N$275*SIN(2*PI()*L174/L$19*L$20:L$275))</f>
        <v>128.49701872571316</v>
      </c>
      <c r="P174" s="20" cm="1">
        <f t="array" ref="P174">SUMPRODUCT(N$20:N$275*COS(2*PI()*L173/L$19*L$20:L$275)+M$20:M$275*SIN(2*PI()*L174/L$19*L$20:L$275))</f>
        <v>-71.935318713510085</v>
      </c>
    </row>
    <row r="175" spans="2:16" x14ac:dyDescent="0.35">
      <c r="B175" s="2">
        <f t="shared" si="54"/>
        <v>155</v>
      </c>
      <c r="C175" s="5" t="str">
        <f t="shared" si="49"/>
        <v/>
      </c>
      <c r="D175">
        <f t="shared" si="50"/>
        <v>-72</v>
      </c>
      <c r="E175" s="5" t="str">
        <f t="shared" si="51"/>
        <v/>
      </c>
      <c r="F175" s="15">
        <f t="shared" si="43"/>
        <v>5184</v>
      </c>
      <c r="G175" s="2">
        <f t="shared" si="44"/>
        <v>155</v>
      </c>
      <c r="H175" s="45">
        <f t="shared" si="45"/>
        <v>3.7147487607250596</v>
      </c>
      <c r="I175" s="45">
        <f t="shared" si="52"/>
        <v>575.78605791238419</v>
      </c>
      <c r="J175" s="46">
        <f t="shared" si="53"/>
        <v>24025</v>
      </c>
      <c r="K175" s="2"/>
      <c r="L175" s="2">
        <f t="shared" si="46"/>
        <v>155</v>
      </c>
      <c r="M175" s="18">
        <f t="shared" si="47"/>
        <v>-72</v>
      </c>
      <c r="N175" s="20">
        <v>0</v>
      </c>
      <c r="O175" s="18" cm="1">
        <f t="array" ref="O175">SUMPRODUCT(M$20:M$275*COS(2*PI()*L175/L$19*L$20:L$275)+N$20:N$275*SIN(2*PI()*L175/L$19*L$20:L$275))</f>
        <v>139.28827393378938</v>
      </c>
      <c r="P175" s="20" cm="1">
        <f t="array" ref="P175">SUMPRODUCT(N$20:N$275*COS(2*PI()*L174/L$19*L$20:L$275)+M$20:M$275*SIN(2*PI()*L175/L$19*L$20:L$275))</f>
        <v>-107.8577110236136</v>
      </c>
    </row>
    <row r="176" spans="2:16" x14ac:dyDescent="0.35">
      <c r="B176" s="2">
        <f t="shared" si="54"/>
        <v>156</v>
      </c>
      <c r="C176" s="5" t="str">
        <f t="shared" si="49"/>
        <v/>
      </c>
      <c r="D176">
        <f t="shared" si="50"/>
        <v>-56</v>
      </c>
      <c r="E176" s="5" t="str">
        <f t="shared" si="51"/>
        <v/>
      </c>
      <c r="F176" s="15">
        <f t="shared" si="43"/>
        <v>3136</v>
      </c>
      <c r="G176" s="2">
        <f t="shared" si="44"/>
        <v>156</v>
      </c>
      <c r="H176" s="45">
        <f t="shared" si="45"/>
        <v>3.4965145186977451</v>
      </c>
      <c r="I176" s="45">
        <f t="shared" si="52"/>
        <v>545.45626491684823</v>
      </c>
      <c r="J176" s="46">
        <f t="shared" si="53"/>
        <v>24336</v>
      </c>
      <c r="K176" s="2"/>
      <c r="L176" s="2">
        <f t="shared" si="46"/>
        <v>156</v>
      </c>
      <c r="M176" s="18">
        <f t="shared" si="47"/>
        <v>-56</v>
      </c>
      <c r="N176" s="20">
        <v>0</v>
      </c>
      <c r="O176" s="18" cm="1">
        <f t="array" ref="O176">SUMPRODUCT(M$20:M$275*COS(2*PI()*L176/L$19*L$20:L$275)+N$20:N$275*SIN(2*PI()*L176/L$19*L$20:L$275))</f>
        <v>144.85110769909087</v>
      </c>
      <c r="P176" s="20" cm="1">
        <f t="array" ref="P176">SUMPRODUCT(N$20:N$275*COS(2*PI()*L175/L$19*L$20:L$275)+M$20:M$275*SIN(2*PI()*L176/L$19*L$20:L$275))</f>
        <v>-68.063310686680481</v>
      </c>
    </row>
    <row r="177" spans="2:16" x14ac:dyDescent="0.35">
      <c r="B177" s="2">
        <f t="shared" si="54"/>
        <v>157</v>
      </c>
      <c r="C177" s="5" t="str">
        <f t="shared" si="49"/>
        <v/>
      </c>
      <c r="D177">
        <f t="shared" si="50"/>
        <v>-39</v>
      </c>
      <c r="E177" s="5" t="str">
        <f t="shared" si="51"/>
        <v/>
      </c>
      <c r="F177" s="15">
        <f t="shared" si="43"/>
        <v>1521</v>
      </c>
      <c r="G177" s="2">
        <f t="shared" si="44"/>
        <v>157</v>
      </c>
      <c r="H177" s="45">
        <f t="shared" si="45"/>
        <v>3.182414652434554</v>
      </c>
      <c r="I177" s="45">
        <f t="shared" si="52"/>
        <v>499.63910043222501</v>
      </c>
      <c r="J177" s="46">
        <f t="shared" si="53"/>
        <v>24649</v>
      </c>
      <c r="K177" s="2"/>
      <c r="L177" s="2">
        <f t="shared" si="46"/>
        <v>157</v>
      </c>
      <c r="M177" s="18">
        <f t="shared" si="47"/>
        <v>-39</v>
      </c>
      <c r="N177" s="20">
        <v>0</v>
      </c>
      <c r="O177" s="18" cm="1">
        <f t="array" ref="O177">SUMPRODUCT(M$20:M$275*COS(2*PI()*L177/L$19*L$20:L$275)+N$20:N$275*SIN(2*PI()*L177/L$19*L$20:L$275))</f>
        <v>160.8774357313761</v>
      </c>
      <c r="P177" s="20" cm="1">
        <f t="array" ref="P177">SUMPRODUCT(N$20:N$275*COS(2*PI()*L176/L$19*L$20:L$275)+M$20:M$275*SIN(2*PI()*L177/L$19*L$20:L$275))</f>
        <v>-119.7563282005124</v>
      </c>
    </row>
    <row r="178" spans="2:16" x14ac:dyDescent="0.35">
      <c r="B178" s="2">
        <f t="shared" si="54"/>
        <v>158</v>
      </c>
      <c r="C178" s="5" t="str">
        <f t="shared" si="49"/>
        <v/>
      </c>
      <c r="D178">
        <f t="shared" si="50"/>
        <v>-41</v>
      </c>
      <c r="E178" s="5" t="str">
        <f t="shared" si="51"/>
        <v/>
      </c>
      <c r="F178" s="15">
        <f t="shared" si="43"/>
        <v>1681</v>
      </c>
      <c r="G178" s="2">
        <f t="shared" si="44"/>
        <v>158</v>
      </c>
      <c r="H178" s="45">
        <f t="shared" si="45"/>
        <v>3.2258259914618934</v>
      </c>
      <c r="I178" s="45">
        <f t="shared" si="52"/>
        <v>509.68050665097917</v>
      </c>
      <c r="J178" s="46">
        <f t="shared" si="53"/>
        <v>24964</v>
      </c>
      <c r="K178" s="2"/>
      <c r="L178" s="2">
        <f t="shared" si="46"/>
        <v>158</v>
      </c>
      <c r="M178" s="18">
        <f t="shared" si="47"/>
        <v>-41</v>
      </c>
      <c r="N178" s="20">
        <v>0</v>
      </c>
      <c r="O178" s="18" cm="1">
        <f t="array" ref="O178">SUMPRODUCT(M$20:M$275*COS(2*PI()*L178/L$19*L$20:L$275)+N$20:N$275*SIN(2*PI()*L178/L$19*L$20:L$275))</f>
        <v>192.31791899268026</v>
      </c>
      <c r="P178" s="20" cm="1">
        <f t="array" ref="P178">SUMPRODUCT(N$20:N$275*COS(2*PI()*L177/L$19*L$20:L$275)+M$20:M$275*SIN(2*PI()*L178/L$19*L$20:L$275))</f>
        <v>-153.80360532026498</v>
      </c>
    </row>
    <row r="179" spans="2:16" x14ac:dyDescent="0.35">
      <c r="B179" s="2">
        <f t="shared" si="54"/>
        <v>159</v>
      </c>
      <c r="C179" s="5" t="str">
        <f t="shared" si="49"/>
        <v/>
      </c>
      <c r="D179">
        <f t="shared" si="50"/>
        <v>-53</v>
      </c>
      <c r="E179" s="5" t="str">
        <f t="shared" si="51"/>
        <v/>
      </c>
      <c r="F179" s="15">
        <f t="shared" si="43"/>
        <v>2809</v>
      </c>
      <c r="G179" s="2">
        <f t="shared" si="44"/>
        <v>159</v>
      </c>
      <c r="H179" s="45">
        <f t="shared" si="45"/>
        <v>3.4487063199050798</v>
      </c>
      <c r="I179" s="45">
        <f t="shared" si="52"/>
        <v>548.34430486490771</v>
      </c>
      <c r="J179" s="46">
        <f t="shared" si="53"/>
        <v>25281</v>
      </c>
      <c r="K179" s="2"/>
      <c r="L179" s="2">
        <f t="shared" si="46"/>
        <v>159</v>
      </c>
      <c r="M179" s="18">
        <f t="shared" si="47"/>
        <v>-53</v>
      </c>
      <c r="N179" s="20">
        <v>0</v>
      </c>
      <c r="O179" s="18" cm="1">
        <f t="array" ref="O179">SUMPRODUCT(M$20:M$275*COS(2*PI()*L179/L$19*L$20:L$275)+N$20:N$275*SIN(2*PI()*L179/L$19*L$20:L$275))</f>
        <v>221.35921592036573</v>
      </c>
      <c r="P179" s="20" cm="1">
        <f t="array" ref="P179">SUMPRODUCT(N$20:N$275*COS(2*PI()*L178/L$19*L$20:L$275)+M$20:M$275*SIN(2*PI()*L179/L$19*L$20:L$275))</f>
        <v>-119.95396816433762</v>
      </c>
    </row>
    <row r="180" spans="2:16" x14ac:dyDescent="0.35">
      <c r="B180" s="2">
        <f t="shared" si="54"/>
        <v>160</v>
      </c>
      <c r="C180" s="5" t="str">
        <f t="shared" si="49"/>
        <v/>
      </c>
      <c r="D180">
        <f t="shared" si="50"/>
        <v>-60</v>
      </c>
      <c r="E180" s="5" t="str">
        <f t="shared" si="51"/>
        <v/>
      </c>
      <c r="F180" s="15">
        <f t="shared" si="43"/>
        <v>3600</v>
      </c>
      <c r="G180" s="2">
        <f t="shared" si="44"/>
        <v>160</v>
      </c>
      <c r="H180" s="45">
        <f t="shared" si="45"/>
        <v>3.5564231213712851</v>
      </c>
      <c r="I180" s="45">
        <f t="shared" si="52"/>
        <v>569.02769941940562</v>
      </c>
      <c r="J180" s="46">
        <f t="shared" si="53"/>
        <v>25600</v>
      </c>
      <c r="K180" s="2"/>
      <c r="L180" s="2">
        <f t="shared" si="46"/>
        <v>160</v>
      </c>
      <c r="M180" s="18">
        <f t="shared" si="47"/>
        <v>-60</v>
      </c>
      <c r="N180" s="20">
        <v>0</v>
      </c>
      <c r="O180" s="18" cm="1">
        <f t="array" ref="O180">SUMPRODUCT(M$20:M$275*COS(2*PI()*L180/L$19*L$20:L$275)+N$20:N$275*SIN(2*PI()*L180/L$19*L$20:L$275))</f>
        <v>203.68506601174434</v>
      </c>
      <c r="P180" s="20" cm="1">
        <f t="array" ref="P180">SUMPRODUCT(N$20:N$275*COS(2*PI()*L179/L$19*L$20:L$275)+M$20:M$275*SIN(2*PI()*L180/L$19*L$20:L$275))</f>
        <v>-126.16024611822533</v>
      </c>
    </row>
    <row r="181" spans="2:16" x14ac:dyDescent="0.35">
      <c r="B181" s="2">
        <f t="shared" si="54"/>
        <v>161</v>
      </c>
      <c r="C181" s="5" t="str">
        <f t="shared" si="49"/>
        <v/>
      </c>
      <c r="D181">
        <f t="shared" si="50"/>
        <v>-55</v>
      </c>
      <c r="E181" s="5" t="str">
        <f t="shared" si="51"/>
        <v/>
      </c>
      <c r="F181" s="15">
        <f t="shared" si="43"/>
        <v>3025</v>
      </c>
      <c r="G181" s="2">
        <f t="shared" si="44"/>
        <v>161</v>
      </c>
      <c r="H181" s="45">
        <f t="shared" si="45"/>
        <v>3.4808689236871677</v>
      </c>
      <c r="I181" s="45">
        <f t="shared" si="52"/>
        <v>560.41989671363399</v>
      </c>
      <c r="J181" s="46">
        <f t="shared" si="53"/>
        <v>25921</v>
      </c>
      <c r="K181" s="2"/>
      <c r="L181" s="2">
        <f t="shared" si="46"/>
        <v>161</v>
      </c>
      <c r="M181" s="18">
        <f t="shared" si="47"/>
        <v>-55</v>
      </c>
      <c r="N181" s="20">
        <v>0</v>
      </c>
      <c r="O181" s="18" cm="1">
        <f t="array" ref="O181">SUMPRODUCT(M$20:M$275*COS(2*PI()*L181/L$19*L$20:L$275)+N$20:N$275*SIN(2*PI()*L181/L$19*L$20:L$275))</f>
        <v>237.94231807755762</v>
      </c>
      <c r="P181" s="20" cm="1">
        <f t="array" ref="P181">SUMPRODUCT(N$20:N$275*COS(2*PI()*L180/L$19*L$20:L$275)+M$20:M$275*SIN(2*PI()*L181/L$19*L$20:L$275))</f>
        <v>-71.637234868034525</v>
      </c>
    </row>
    <row r="182" spans="2:16" x14ac:dyDescent="0.35">
      <c r="B182" s="2">
        <f t="shared" si="54"/>
        <v>162</v>
      </c>
      <c r="C182" s="5" t="str">
        <f t="shared" si="49"/>
        <v/>
      </c>
      <c r="D182">
        <f t="shared" si="50"/>
        <v>-59</v>
      </c>
      <c r="E182" s="5" t="str">
        <f t="shared" si="51"/>
        <v/>
      </c>
      <c r="F182" s="15">
        <f t="shared" si="43"/>
        <v>3481</v>
      </c>
      <c r="G182" s="2">
        <f t="shared" si="44"/>
        <v>162</v>
      </c>
      <c r="H182" s="45">
        <f t="shared" si="45"/>
        <v>3.5418287667813124</v>
      </c>
      <c r="I182" s="45">
        <f t="shared" si="52"/>
        <v>573.77626021857259</v>
      </c>
      <c r="J182" s="46">
        <f t="shared" si="53"/>
        <v>26244</v>
      </c>
      <c r="K182" s="2"/>
      <c r="L182" s="2">
        <f t="shared" si="46"/>
        <v>162</v>
      </c>
      <c r="M182" s="18">
        <f t="shared" si="47"/>
        <v>-59</v>
      </c>
      <c r="N182" s="20">
        <v>0</v>
      </c>
      <c r="O182" s="18" cm="1">
        <f t="array" ref="O182">SUMPRODUCT(M$20:M$275*COS(2*PI()*L182/L$19*L$20:L$275)+N$20:N$275*SIN(2*PI()*L182/L$19*L$20:L$275))</f>
        <v>153.45064293610261</v>
      </c>
      <c r="P182" s="20" cm="1">
        <f t="array" ref="P182">SUMPRODUCT(N$20:N$275*COS(2*PI()*L181/L$19*L$20:L$275)+M$20:M$275*SIN(2*PI()*L182/L$19*L$20:L$275))</f>
        <v>-127.64459835586005</v>
      </c>
    </row>
    <row r="183" spans="2:16" x14ac:dyDescent="0.35">
      <c r="B183" s="2">
        <f t="shared" si="54"/>
        <v>163</v>
      </c>
      <c r="C183" s="5" t="str">
        <f t="shared" si="49"/>
        <v/>
      </c>
      <c r="D183">
        <f t="shared" si="50"/>
        <v>-59</v>
      </c>
      <c r="E183" s="5" t="str">
        <f t="shared" si="51"/>
        <v/>
      </c>
      <c r="F183" s="15">
        <f t="shared" si="43"/>
        <v>3481</v>
      </c>
      <c r="G183" s="2">
        <f t="shared" si="44"/>
        <v>163</v>
      </c>
      <c r="H183" s="45">
        <f t="shared" si="45"/>
        <v>3.5418287667813124</v>
      </c>
      <c r="I183" s="45">
        <f t="shared" si="52"/>
        <v>577.31808898535394</v>
      </c>
      <c r="J183" s="46">
        <f t="shared" si="53"/>
        <v>26569</v>
      </c>
      <c r="K183" s="2"/>
      <c r="L183" s="2">
        <f t="shared" si="46"/>
        <v>163</v>
      </c>
      <c r="M183" s="18">
        <f t="shared" si="47"/>
        <v>-59</v>
      </c>
      <c r="N183" s="20">
        <v>0</v>
      </c>
      <c r="O183" s="18" cm="1">
        <f t="array" ref="O183">SUMPRODUCT(M$20:M$275*COS(2*PI()*L183/L$19*L$20:L$275)+N$20:N$275*SIN(2*PI()*L183/L$19*L$20:L$275))</f>
        <v>162.00535866599424</v>
      </c>
      <c r="P183" s="20" cm="1">
        <f t="array" ref="P183">SUMPRODUCT(N$20:N$275*COS(2*PI()*L182/L$19*L$20:L$275)+M$20:M$275*SIN(2*PI()*L183/L$19*L$20:L$275))</f>
        <v>-113.02100889906291</v>
      </c>
    </row>
    <row r="184" spans="2:16" x14ac:dyDescent="0.35">
      <c r="B184" s="2">
        <f t="shared" si="54"/>
        <v>164</v>
      </c>
      <c r="C184" s="5" t="str">
        <f t="shared" si="49"/>
        <v/>
      </c>
      <c r="D184">
        <f t="shared" si="50"/>
        <v>-27</v>
      </c>
      <c r="E184" s="5" t="str">
        <f t="shared" si="51"/>
        <v/>
      </c>
      <c r="F184" s="15">
        <f t="shared" si="43"/>
        <v>729</v>
      </c>
      <c r="G184" s="2">
        <f t="shared" si="44"/>
        <v>164</v>
      </c>
      <c r="H184" s="45">
        <f t="shared" si="45"/>
        <v>2.8633228601204559</v>
      </c>
      <c r="I184" s="45">
        <f t="shared" si="52"/>
        <v>469.58494905975476</v>
      </c>
      <c r="J184" s="46">
        <f t="shared" si="53"/>
        <v>26896</v>
      </c>
      <c r="K184" s="2"/>
      <c r="L184" s="2">
        <f t="shared" si="46"/>
        <v>164</v>
      </c>
      <c r="M184" s="18">
        <f t="shared" si="47"/>
        <v>-27</v>
      </c>
      <c r="N184" s="20">
        <v>0</v>
      </c>
      <c r="O184" s="18" cm="1">
        <f t="array" ref="O184">SUMPRODUCT(M$20:M$275*COS(2*PI()*L184/L$19*L$20:L$275)+N$20:N$275*SIN(2*PI()*L184/L$19*L$20:L$275))</f>
        <v>201.68673492552222</v>
      </c>
      <c r="P184" s="20" cm="1">
        <f t="array" ref="P184">SUMPRODUCT(N$20:N$275*COS(2*PI()*L183/L$19*L$20:L$275)+M$20:M$275*SIN(2*PI()*L184/L$19*L$20:L$275))</f>
        <v>-195.77546972484851</v>
      </c>
    </row>
    <row r="185" spans="2:16" x14ac:dyDescent="0.35">
      <c r="B185" s="2">
        <f t="shared" si="54"/>
        <v>165</v>
      </c>
      <c r="C185" s="5" t="str">
        <f t="shared" si="49"/>
        <v/>
      </c>
      <c r="D185">
        <f t="shared" si="50"/>
        <v>37</v>
      </c>
      <c r="E185" s="5">
        <f t="shared" si="51"/>
        <v>1</v>
      </c>
      <c r="F185" s="15">
        <f t="shared" si="43"/>
        <v>1369</v>
      </c>
      <c r="G185" s="2">
        <f t="shared" si="44"/>
        <v>165</v>
      </c>
      <c r="H185" s="45">
        <f t="shared" si="45"/>
        <v>3.1367205671564067</v>
      </c>
      <c r="I185" s="45">
        <f t="shared" si="52"/>
        <v>517.55889358080708</v>
      </c>
      <c r="J185" s="46">
        <f t="shared" si="53"/>
        <v>27225</v>
      </c>
      <c r="K185" s="2"/>
      <c r="L185" s="2">
        <f t="shared" si="46"/>
        <v>165</v>
      </c>
      <c r="M185" s="18">
        <f t="shared" si="47"/>
        <v>37</v>
      </c>
      <c r="N185" s="20">
        <v>0</v>
      </c>
      <c r="O185" s="18" cm="1">
        <f t="array" ref="O185">SUMPRODUCT(M$20:M$275*COS(2*PI()*L185/L$19*L$20:L$275)+N$20:N$275*SIN(2*PI()*L185/L$19*L$20:L$275))</f>
        <v>258.02994874948007</v>
      </c>
      <c r="P185" s="20" cm="1">
        <f t="array" ref="P185">SUMPRODUCT(N$20:N$275*COS(2*PI()*L184/L$19*L$20:L$275)+M$20:M$275*SIN(2*PI()*L185/L$19*L$20:L$275))</f>
        <v>-174.7447127187522</v>
      </c>
    </row>
    <row r="186" spans="2:16" x14ac:dyDescent="0.35">
      <c r="B186" s="2">
        <f t="shared" si="54"/>
        <v>166</v>
      </c>
      <c r="C186" s="5" t="str">
        <f t="shared" si="49"/>
        <v/>
      </c>
      <c r="D186">
        <f t="shared" si="50"/>
        <v>98</v>
      </c>
      <c r="E186" s="5" t="str">
        <f t="shared" si="51"/>
        <v/>
      </c>
      <c r="F186" s="15">
        <f t="shared" si="43"/>
        <v>9604</v>
      </c>
      <c r="G186" s="2">
        <f t="shared" si="44"/>
        <v>166</v>
      </c>
      <c r="H186" s="45">
        <f t="shared" si="45"/>
        <v>3.9824973691977124</v>
      </c>
      <c r="I186" s="45">
        <f t="shared" si="52"/>
        <v>661.09456328682029</v>
      </c>
      <c r="J186" s="46">
        <f t="shared" si="53"/>
        <v>27556</v>
      </c>
      <c r="K186" s="2"/>
      <c r="L186" s="2">
        <f t="shared" si="46"/>
        <v>166</v>
      </c>
      <c r="M186" s="18">
        <f t="shared" si="47"/>
        <v>98</v>
      </c>
      <c r="N186" s="20">
        <v>0</v>
      </c>
      <c r="O186" s="18" cm="1">
        <f t="array" ref="O186">SUMPRODUCT(M$20:M$275*COS(2*PI()*L186/L$19*L$20:L$275)+N$20:N$275*SIN(2*PI()*L186/L$19*L$20:L$275))</f>
        <v>278.39957392909008</v>
      </c>
      <c r="P186" s="20" cm="1">
        <f t="array" ref="P186">SUMPRODUCT(N$20:N$275*COS(2*PI()*L185/L$19*L$20:L$275)+M$20:M$275*SIN(2*PI()*L186/L$19*L$20:L$275))</f>
        <v>-135.73104542184612</v>
      </c>
    </row>
    <row r="187" spans="2:16" x14ac:dyDescent="0.35">
      <c r="B187" s="2">
        <f t="shared" si="54"/>
        <v>167</v>
      </c>
      <c r="C187" s="5" t="str">
        <f t="shared" si="49"/>
        <v/>
      </c>
      <c r="D187">
        <f t="shared" si="50"/>
        <v>130</v>
      </c>
      <c r="E187" s="5" t="str">
        <f t="shared" si="51"/>
        <v/>
      </c>
      <c r="F187" s="15">
        <f t="shared" si="43"/>
        <v>16900</v>
      </c>
      <c r="G187" s="2">
        <f t="shared" si="44"/>
        <v>167</v>
      </c>
      <c r="H187" s="45">
        <f t="shared" si="45"/>
        <v>4.2279124017517482</v>
      </c>
      <c r="I187" s="45">
        <f t="shared" si="52"/>
        <v>706.061371092542</v>
      </c>
      <c r="J187" s="46">
        <f t="shared" si="53"/>
        <v>27889</v>
      </c>
      <c r="K187" s="2"/>
      <c r="L187" s="2">
        <f t="shared" si="46"/>
        <v>167</v>
      </c>
      <c r="M187" s="18">
        <f t="shared" si="47"/>
        <v>130</v>
      </c>
      <c r="N187" s="20">
        <v>0</v>
      </c>
      <c r="O187" s="18" cm="1">
        <f t="array" ref="O187">SUMPRODUCT(M$20:M$275*COS(2*PI()*L187/L$19*L$20:L$275)+N$20:N$275*SIN(2*PI()*L187/L$19*L$20:L$275))</f>
        <v>224.57222323016472</v>
      </c>
      <c r="P187" s="20" cm="1">
        <f t="array" ref="P187">SUMPRODUCT(N$20:N$275*COS(2*PI()*L186/L$19*L$20:L$275)+M$20:M$275*SIN(2*PI()*L187/L$19*L$20:L$275))</f>
        <v>-160.51756281995398</v>
      </c>
    </row>
    <row r="188" spans="2:16" x14ac:dyDescent="0.35">
      <c r="B188" s="2">
        <f t="shared" si="54"/>
        <v>168</v>
      </c>
      <c r="C188" s="5" t="str">
        <f t="shared" si="49"/>
        <v/>
      </c>
      <c r="D188">
        <f t="shared" si="50"/>
        <v>132</v>
      </c>
      <c r="E188" s="5" t="str">
        <f t="shared" si="51"/>
        <v/>
      </c>
      <c r="F188" s="15">
        <f t="shared" si="43"/>
        <v>17424</v>
      </c>
      <c r="G188" s="2">
        <f t="shared" si="44"/>
        <v>168</v>
      </c>
      <c r="H188" s="45">
        <f t="shared" si="45"/>
        <v>4.2411727867700471</v>
      </c>
      <c r="I188" s="45">
        <f t="shared" si="52"/>
        <v>712.51702817736793</v>
      </c>
      <c r="J188" s="46">
        <f t="shared" si="53"/>
        <v>28224</v>
      </c>
      <c r="K188" s="2"/>
      <c r="L188" s="2">
        <f t="shared" si="46"/>
        <v>168</v>
      </c>
      <c r="M188" s="18">
        <f t="shared" si="47"/>
        <v>132</v>
      </c>
      <c r="N188" s="20">
        <v>0</v>
      </c>
      <c r="O188" s="18" cm="1">
        <f t="array" ref="O188">SUMPRODUCT(M$20:M$275*COS(2*PI()*L188/L$19*L$20:L$275)+N$20:N$275*SIN(2*PI()*L188/L$19*L$20:L$275))</f>
        <v>214.82723002999012</v>
      </c>
      <c r="P188" s="20" cm="1">
        <f t="array" ref="P188">SUMPRODUCT(N$20:N$275*COS(2*PI()*L187/L$19*L$20:L$275)+M$20:M$275*SIN(2*PI()*L188/L$19*L$20:L$275))</f>
        <v>-80.366363109936856</v>
      </c>
    </row>
    <row r="189" spans="2:16" x14ac:dyDescent="0.35">
      <c r="B189" s="2">
        <f t="shared" si="54"/>
        <v>169</v>
      </c>
      <c r="C189" s="5" t="str">
        <f t="shared" si="49"/>
        <v/>
      </c>
      <c r="D189">
        <f t="shared" si="50"/>
        <v>128</v>
      </c>
      <c r="E189" s="5" t="str">
        <f t="shared" si="51"/>
        <v/>
      </c>
      <c r="F189" s="15">
        <f t="shared" si="43"/>
        <v>16384</v>
      </c>
      <c r="G189" s="2">
        <f t="shared" si="44"/>
        <v>169</v>
      </c>
      <c r="H189" s="45">
        <f t="shared" si="45"/>
        <v>4.2144464457183943</v>
      </c>
      <c r="I189" s="45">
        <f t="shared" si="52"/>
        <v>712.24144932640866</v>
      </c>
      <c r="J189" s="46">
        <f t="shared" si="53"/>
        <v>28561</v>
      </c>
      <c r="K189" s="2"/>
      <c r="L189" s="2">
        <f t="shared" si="46"/>
        <v>169</v>
      </c>
      <c r="M189" s="18">
        <f t="shared" si="47"/>
        <v>128</v>
      </c>
      <c r="N189" s="20">
        <v>0</v>
      </c>
      <c r="O189" s="18" cm="1">
        <f t="array" ref="O189">SUMPRODUCT(M$20:M$275*COS(2*PI()*L189/L$19*L$20:L$275)+N$20:N$275*SIN(2*PI()*L189/L$19*L$20:L$275))</f>
        <v>142.4366253650046</v>
      </c>
      <c r="P189" s="20" cm="1">
        <f t="array" ref="P189">SUMPRODUCT(N$20:N$275*COS(2*PI()*L188/L$19*L$20:L$275)+M$20:M$275*SIN(2*PI()*L189/L$19*L$20:L$275))</f>
        <v>-80.368171230939097</v>
      </c>
    </row>
    <row r="190" spans="2:16" x14ac:dyDescent="0.35">
      <c r="B190" s="2">
        <f t="shared" si="54"/>
        <v>170</v>
      </c>
      <c r="C190" s="5" t="str">
        <f t="shared" si="49"/>
        <v/>
      </c>
      <c r="D190">
        <f t="shared" si="50"/>
        <v>121</v>
      </c>
      <c r="E190" s="5" t="str">
        <f t="shared" si="51"/>
        <v/>
      </c>
      <c r="F190" s="15">
        <f t="shared" si="43"/>
        <v>14641</v>
      </c>
      <c r="G190" s="2">
        <f t="shared" si="44"/>
        <v>170</v>
      </c>
      <c r="H190" s="45">
        <f t="shared" si="45"/>
        <v>4.1656004025174118</v>
      </c>
      <c r="I190" s="45">
        <f t="shared" si="52"/>
        <v>708.15206842795999</v>
      </c>
      <c r="J190" s="46">
        <f t="shared" si="53"/>
        <v>28900</v>
      </c>
      <c r="K190" s="2"/>
      <c r="L190" s="2">
        <f t="shared" si="46"/>
        <v>170</v>
      </c>
      <c r="M190" s="18">
        <f t="shared" si="47"/>
        <v>121</v>
      </c>
      <c r="N190" s="20">
        <v>0</v>
      </c>
      <c r="O190" s="18" cm="1">
        <f t="array" ref="O190">SUMPRODUCT(M$20:M$275*COS(2*PI()*L190/L$19*L$20:L$275)+N$20:N$275*SIN(2*PI()*L190/L$19*L$20:L$275))</f>
        <v>192.89003353057944</v>
      </c>
      <c r="P190" s="20" cm="1">
        <f t="array" ref="P190">SUMPRODUCT(N$20:N$275*COS(2*PI()*L189/L$19*L$20:L$275)+M$20:M$275*SIN(2*PI()*L190/L$19*L$20:L$275))</f>
        <v>-170.55557454840903</v>
      </c>
    </row>
    <row r="191" spans="2:16" x14ac:dyDescent="0.35">
      <c r="B191" s="2">
        <f t="shared" si="54"/>
        <v>171</v>
      </c>
      <c r="C191" s="5" t="str">
        <f t="shared" si="49"/>
        <v/>
      </c>
      <c r="D191">
        <f t="shared" si="50"/>
        <v>103</v>
      </c>
      <c r="E191" s="5" t="str">
        <f t="shared" si="51"/>
        <v/>
      </c>
      <c r="F191" s="15">
        <f t="shared" si="43"/>
        <v>10609</v>
      </c>
      <c r="G191" s="2">
        <f t="shared" si="44"/>
        <v>171</v>
      </c>
      <c r="H191" s="45">
        <f t="shared" si="45"/>
        <v>4.0257153839013409</v>
      </c>
      <c r="I191" s="45">
        <f t="shared" si="52"/>
        <v>688.39733064712925</v>
      </c>
      <c r="J191" s="46">
        <f t="shared" si="53"/>
        <v>29241</v>
      </c>
      <c r="K191" s="2"/>
      <c r="L191" s="2">
        <f t="shared" si="46"/>
        <v>171</v>
      </c>
      <c r="M191" s="18">
        <f t="shared" si="47"/>
        <v>103</v>
      </c>
      <c r="N191" s="20">
        <v>0</v>
      </c>
      <c r="O191" s="18" cm="1">
        <f t="array" ref="O191">SUMPRODUCT(M$20:M$275*COS(2*PI()*L191/L$19*L$20:L$275)+N$20:N$275*SIN(2*PI()*L191/L$19*L$20:L$275))</f>
        <v>207.18445200163652</v>
      </c>
      <c r="P191" s="20" cm="1">
        <f t="array" ref="P191">SUMPRODUCT(N$20:N$275*COS(2*PI()*L190/L$19*L$20:L$275)+M$20:M$275*SIN(2*PI()*L191/L$19*L$20:L$275))</f>
        <v>-157.66392453593502</v>
      </c>
    </row>
    <row r="192" spans="2:16" x14ac:dyDescent="0.35">
      <c r="B192" s="2">
        <f t="shared" si="54"/>
        <v>172</v>
      </c>
      <c r="C192" s="5" t="str">
        <f t="shared" si="49"/>
        <v/>
      </c>
      <c r="D192">
        <f t="shared" si="50"/>
        <v>78</v>
      </c>
      <c r="E192" s="5" t="str">
        <f t="shared" si="51"/>
        <v/>
      </c>
      <c r="F192" s="15">
        <f t="shared" si="43"/>
        <v>6084</v>
      </c>
      <c r="G192" s="2">
        <f t="shared" si="44"/>
        <v>172</v>
      </c>
      <c r="H192" s="45">
        <f t="shared" si="45"/>
        <v>3.784260582566084</v>
      </c>
      <c r="I192" s="45">
        <f t="shared" si="52"/>
        <v>650.89282020136648</v>
      </c>
      <c r="J192" s="46">
        <f t="shared" si="53"/>
        <v>29584</v>
      </c>
      <c r="K192" s="2"/>
      <c r="L192" s="2">
        <f t="shared" si="46"/>
        <v>172</v>
      </c>
      <c r="M192" s="18">
        <f t="shared" si="47"/>
        <v>78</v>
      </c>
      <c r="N192" s="20">
        <v>0</v>
      </c>
      <c r="O192" s="18" cm="1">
        <f t="array" ref="O192">SUMPRODUCT(M$20:M$275*COS(2*PI()*L192/L$19*L$20:L$275)+N$20:N$275*SIN(2*PI()*L192/L$19*L$20:L$275))</f>
        <v>233.39805035098254</v>
      </c>
      <c r="P192" s="20" cm="1">
        <f t="array" ref="P192">SUMPRODUCT(N$20:N$275*COS(2*PI()*L191/L$19*L$20:L$275)+M$20:M$275*SIN(2*PI()*L192/L$19*L$20:L$275))</f>
        <v>-176.61059923280135</v>
      </c>
    </row>
    <row r="193" spans="2:16" x14ac:dyDescent="0.35">
      <c r="B193" s="2">
        <f t="shared" si="54"/>
        <v>173</v>
      </c>
      <c r="C193" s="5" t="str">
        <f t="shared" si="49"/>
        <v/>
      </c>
      <c r="D193">
        <f t="shared" si="50"/>
        <v>61</v>
      </c>
      <c r="E193" s="5" t="str">
        <f t="shared" si="51"/>
        <v/>
      </c>
      <c r="F193" s="15">
        <f t="shared" si="43"/>
        <v>3721</v>
      </c>
      <c r="G193" s="2">
        <f t="shared" si="44"/>
        <v>173</v>
      </c>
      <c r="H193" s="45">
        <f t="shared" si="45"/>
        <v>3.570776368794748</v>
      </c>
      <c r="I193" s="45">
        <f t="shared" si="52"/>
        <v>617.74431180149145</v>
      </c>
      <c r="J193" s="46">
        <f t="shared" si="53"/>
        <v>29929</v>
      </c>
      <c r="K193" s="2"/>
      <c r="L193" s="2">
        <f t="shared" si="46"/>
        <v>173</v>
      </c>
      <c r="M193" s="18">
        <f t="shared" si="47"/>
        <v>61</v>
      </c>
      <c r="N193" s="20">
        <v>0</v>
      </c>
      <c r="O193" s="18" cm="1">
        <f t="array" ref="O193">SUMPRODUCT(M$20:M$275*COS(2*PI()*L193/L$19*L$20:L$275)+N$20:N$275*SIN(2*PI()*L193/L$19*L$20:L$275))</f>
        <v>255.10546983392865</v>
      </c>
      <c r="P193" s="20" cm="1">
        <f t="array" ref="P193">SUMPRODUCT(N$20:N$275*COS(2*PI()*L192/L$19*L$20:L$275)+M$20:M$275*SIN(2*PI()*L193/L$19*L$20:L$275))</f>
        <v>-140.14992966372071</v>
      </c>
    </row>
    <row r="194" spans="2:16" x14ac:dyDescent="0.35">
      <c r="B194" s="2">
        <f t="shared" si="54"/>
        <v>174</v>
      </c>
      <c r="C194" s="5" t="str">
        <f t="shared" si="49"/>
        <v/>
      </c>
      <c r="D194">
        <f t="shared" si="50"/>
        <v>55</v>
      </c>
      <c r="E194" s="5" t="str">
        <f t="shared" si="51"/>
        <v/>
      </c>
      <c r="F194" s="15">
        <f t="shared" si="43"/>
        <v>3025</v>
      </c>
      <c r="G194" s="2">
        <f t="shared" si="44"/>
        <v>174</v>
      </c>
      <c r="H194" s="45">
        <f t="shared" si="45"/>
        <v>3.4808689236871677</v>
      </c>
      <c r="I194" s="45">
        <f t="shared" si="52"/>
        <v>605.67119272156719</v>
      </c>
      <c r="J194" s="46">
        <f t="shared" si="53"/>
        <v>30276</v>
      </c>
      <c r="K194" s="2"/>
      <c r="L194" s="2">
        <f t="shared" si="46"/>
        <v>174</v>
      </c>
      <c r="M194" s="18">
        <f t="shared" si="47"/>
        <v>55</v>
      </c>
      <c r="N194" s="20">
        <v>0</v>
      </c>
      <c r="O194" s="18" cm="1">
        <f t="array" ref="O194">SUMPRODUCT(M$20:M$275*COS(2*PI()*L194/L$19*L$20:L$275)+N$20:N$275*SIN(2*PI()*L194/L$19*L$20:L$275))</f>
        <v>209.66044096878647</v>
      </c>
      <c r="P194" s="20" cm="1">
        <f t="array" ref="P194">SUMPRODUCT(N$20:N$275*COS(2*PI()*L193/L$19*L$20:L$275)+M$20:M$275*SIN(2*PI()*L194/L$19*L$20:L$275))</f>
        <v>-155.16053013851422</v>
      </c>
    </row>
    <row r="195" spans="2:16" x14ac:dyDescent="0.35">
      <c r="B195" s="2">
        <f t="shared" si="54"/>
        <v>175</v>
      </c>
      <c r="C195" s="5" t="str">
        <f t="shared" si="49"/>
        <v/>
      </c>
      <c r="D195">
        <f t="shared" si="50"/>
        <v>67</v>
      </c>
      <c r="E195" s="5" t="str">
        <f t="shared" si="51"/>
        <v/>
      </c>
      <c r="F195" s="15">
        <f t="shared" si="43"/>
        <v>4489</v>
      </c>
      <c r="G195" s="2">
        <f t="shared" si="44"/>
        <v>175</v>
      </c>
      <c r="H195" s="45">
        <f t="shared" si="45"/>
        <v>3.6522463410033232</v>
      </c>
      <c r="I195" s="45">
        <f t="shared" si="52"/>
        <v>639.14310967558151</v>
      </c>
      <c r="J195" s="46">
        <f t="shared" si="53"/>
        <v>30625</v>
      </c>
      <c r="K195" s="2"/>
      <c r="L195" s="2">
        <f t="shared" si="46"/>
        <v>175</v>
      </c>
      <c r="M195" s="18">
        <f t="shared" si="47"/>
        <v>67</v>
      </c>
      <c r="N195" s="20">
        <v>0</v>
      </c>
      <c r="O195" s="18" cm="1">
        <f t="array" ref="O195">SUMPRODUCT(M$20:M$275*COS(2*PI()*L195/L$19*L$20:L$275)+N$20:N$275*SIN(2*PI()*L195/L$19*L$20:L$275))</f>
        <v>210.37580044097749</v>
      </c>
      <c r="P195" s="20" cm="1">
        <f t="array" ref="P195">SUMPRODUCT(N$20:N$275*COS(2*PI()*L194/L$19*L$20:L$275)+M$20:M$275*SIN(2*PI()*L195/L$19*L$20:L$275))</f>
        <v>-188.51913947606675</v>
      </c>
    </row>
    <row r="196" spans="2:16" x14ac:dyDescent="0.35">
      <c r="B196" s="2">
        <f t="shared" si="54"/>
        <v>176</v>
      </c>
      <c r="C196" s="5" t="str">
        <f t="shared" si="49"/>
        <v/>
      </c>
      <c r="D196">
        <f t="shared" si="50"/>
        <v>86</v>
      </c>
      <c r="E196" s="5" t="str">
        <f t="shared" si="51"/>
        <v/>
      </c>
      <c r="F196" s="15">
        <f t="shared" si="43"/>
        <v>7396</v>
      </c>
      <c r="G196" s="2">
        <f t="shared" si="44"/>
        <v>176</v>
      </c>
      <c r="H196" s="45">
        <f t="shared" si="45"/>
        <v>3.8690556187019078</v>
      </c>
      <c r="I196" s="45">
        <f t="shared" si="52"/>
        <v>680.95378889153574</v>
      </c>
      <c r="J196" s="46">
        <f t="shared" si="53"/>
        <v>30976</v>
      </c>
      <c r="K196" s="2"/>
      <c r="L196" s="2">
        <f t="shared" si="46"/>
        <v>176</v>
      </c>
      <c r="M196" s="18">
        <f t="shared" si="47"/>
        <v>86</v>
      </c>
      <c r="N196" s="20">
        <v>0</v>
      </c>
      <c r="O196" s="18" cm="1">
        <f t="array" ref="O196">SUMPRODUCT(M$20:M$275*COS(2*PI()*L196/L$19*L$20:L$275)+N$20:N$275*SIN(2*PI()*L196/L$19*L$20:L$275))</f>
        <v>271.17440981370771</v>
      </c>
      <c r="P196" s="20" cm="1">
        <f t="array" ref="P196">SUMPRODUCT(N$20:N$275*COS(2*PI()*L195/L$19*L$20:L$275)+M$20:M$275*SIN(2*PI()*L196/L$19*L$20:L$275))</f>
        <v>-151.77162609515085</v>
      </c>
    </row>
    <row r="197" spans="2:16" x14ac:dyDescent="0.35">
      <c r="B197" s="2">
        <f t="shared" si="54"/>
        <v>177</v>
      </c>
      <c r="C197" s="5" t="str">
        <f t="shared" si="49"/>
        <v/>
      </c>
      <c r="D197">
        <f t="shared" si="50"/>
        <v>81</v>
      </c>
      <c r="E197" s="5" t="str">
        <f t="shared" si="51"/>
        <v/>
      </c>
      <c r="F197" s="15">
        <f t="shared" si="43"/>
        <v>6561</v>
      </c>
      <c r="G197" s="2">
        <f t="shared" si="44"/>
        <v>177</v>
      </c>
      <c r="H197" s="45">
        <f t="shared" si="45"/>
        <v>3.8170362260500288</v>
      </c>
      <c r="I197" s="45">
        <f t="shared" si="52"/>
        <v>675.61541201085515</v>
      </c>
      <c r="J197" s="46">
        <f t="shared" si="53"/>
        <v>31329</v>
      </c>
      <c r="K197" s="2"/>
      <c r="L197" s="2">
        <f t="shared" si="46"/>
        <v>177</v>
      </c>
      <c r="M197" s="18">
        <f t="shared" si="47"/>
        <v>81</v>
      </c>
      <c r="N197" s="20">
        <v>0</v>
      </c>
      <c r="O197" s="18" cm="1">
        <f t="array" ref="O197">SUMPRODUCT(M$20:M$275*COS(2*PI()*L197/L$19*L$20:L$275)+N$20:N$275*SIN(2*PI()*L197/L$19*L$20:L$275))</f>
        <v>316.86788035833405</v>
      </c>
      <c r="P197" s="20" cm="1">
        <f t="array" ref="P197">SUMPRODUCT(N$20:N$275*COS(2*PI()*L196/L$19*L$20:L$275)+M$20:M$275*SIN(2*PI()*L197/L$19*L$20:L$275))</f>
        <v>-147.00005072529444</v>
      </c>
    </row>
    <row r="198" spans="2:16" x14ac:dyDescent="0.35">
      <c r="B198" s="2">
        <f t="shared" si="54"/>
        <v>178</v>
      </c>
      <c r="C198" s="5" t="str">
        <f t="shared" si="49"/>
        <v/>
      </c>
      <c r="D198">
        <f t="shared" si="50"/>
        <v>50</v>
      </c>
      <c r="E198" s="5" t="str">
        <f t="shared" si="51"/>
        <v/>
      </c>
      <c r="F198" s="15">
        <f t="shared" si="43"/>
        <v>2500</v>
      </c>
      <c r="G198" s="2">
        <f t="shared" si="44"/>
        <v>178</v>
      </c>
      <c r="H198" s="45">
        <f t="shared" si="45"/>
        <v>3.3981136917305026</v>
      </c>
      <c r="I198" s="45">
        <f t="shared" si="52"/>
        <v>604.86423712802946</v>
      </c>
      <c r="J198" s="46">
        <f t="shared" si="53"/>
        <v>31684</v>
      </c>
      <c r="K198" s="2"/>
      <c r="L198" s="2">
        <f t="shared" si="46"/>
        <v>178</v>
      </c>
      <c r="M198" s="18">
        <f t="shared" si="47"/>
        <v>50</v>
      </c>
      <c r="N198" s="20">
        <v>0</v>
      </c>
      <c r="O198" s="18" cm="1">
        <f t="array" ref="O198">SUMPRODUCT(M$20:M$275*COS(2*PI()*L198/L$19*L$20:L$275)+N$20:N$275*SIN(2*PI()*L198/L$19*L$20:L$275))</f>
        <v>381.25827715401743</v>
      </c>
      <c r="P198" s="20" cm="1">
        <f t="array" ref="P198">SUMPRODUCT(N$20:N$275*COS(2*PI()*L197/L$19*L$20:L$275)+M$20:M$275*SIN(2*PI()*L198/L$19*L$20:L$275))</f>
        <v>-123.79711371864946</v>
      </c>
    </row>
    <row r="199" spans="2:16" x14ac:dyDescent="0.35">
      <c r="B199" s="2">
        <f t="shared" si="54"/>
        <v>179</v>
      </c>
      <c r="C199" s="5">
        <f t="shared" si="49"/>
        <v>5.0069930069930075</v>
      </c>
      <c r="D199">
        <f t="shared" si="50"/>
        <v>12</v>
      </c>
      <c r="E199" s="5" t="str">
        <f t="shared" si="51"/>
        <v/>
      </c>
      <c r="F199" s="15">
        <f t="shared" si="43"/>
        <v>144</v>
      </c>
      <c r="G199" s="2">
        <f t="shared" si="44"/>
        <v>179</v>
      </c>
      <c r="H199" s="45">
        <f t="shared" si="45"/>
        <v>2.1613680022349748</v>
      </c>
      <c r="I199" s="45">
        <f t="shared" si="52"/>
        <v>386.88487240006049</v>
      </c>
      <c r="J199" s="46">
        <f t="shared" si="53"/>
        <v>32041</v>
      </c>
      <c r="K199" s="2"/>
      <c r="L199" s="2">
        <f t="shared" si="46"/>
        <v>179</v>
      </c>
      <c r="M199" s="18">
        <f t="shared" si="47"/>
        <v>12</v>
      </c>
      <c r="N199" s="20">
        <v>0</v>
      </c>
      <c r="O199" s="18" cm="1">
        <f t="array" ref="O199">SUMPRODUCT(M$20:M$275*COS(2*PI()*L199/L$19*L$20:L$275)+N$20:N$275*SIN(2*PI()*L199/L$19*L$20:L$275))</f>
        <v>293.87268394967998</v>
      </c>
      <c r="P199" s="20" cm="1">
        <f t="array" ref="P199">SUMPRODUCT(N$20:N$275*COS(2*PI()*L198/L$19*L$20:L$275)+M$20:M$275*SIN(2*PI()*L199/L$19*L$20:L$275))</f>
        <v>-70.569584356796824</v>
      </c>
    </row>
    <row r="200" spans="2:16" x14ac:dyDescent="0.35">
      <c r="B200" s="2">
        <f t="shared" si="54"/>
        <v>180</v>
      </c>
      <c r="C200" s="5" t="str">
        <f t="shared" si="49"/>
        <v/>
      </c>
      <c r="D200">
        <f t="shared" si="50"/>
        <v>-7</v>
      </c>
      <c r="E200" s="5">
        <f t="shared" si="51"/>
        <v>1</v>
      </c>
      <c r="F200" s="15">
        <f t="shared" si="43"/>
        <v>49</v>
      </c>
      <c r="G200" s="2">
        <f t="shared" si="44"/>
        <v>180</v>
      </c>
      <c r="H200" s="45">
        <f t="shared" si="45"/>
        <v>1.6989700043360187</v>
      </c>
      <c r="I200" s="45">
        <f t="shared" si="52"/>
        <v>305.81460078048337</v>
      </c>
      <c r="J200" s="46">
        <f t="shared" si="53"/>
        <v>32400</v>
      </c>
      <c r="K200" s="2"/>
      <c r="L200" s="2">
        <f t="shared" si="46"/>
        <v>180</v>
      </c>
      <c r="M200" s="18">
        <f t="shared" si="47"/>
        <v>-7</v>
      </c>
      <c r="N200" s="20">
        <v>0</v>
      </c>
      <c r="O200" s="18" cm="1">
        <f t="array" ref="O200">SUMPRODUCT(M$20:M$275*COS(2*PI()*L200/L$19*L$20:L$275)+N$20:N$275*SIN(2*PI()*L200/L$19*L$20:L$275))</f>
        <v>160.85942147592243</v>
      </c>
      <c r="P200" s="20" cm="1">
        <f t="array" ref="P200">SUMPRODUCT(N$20:N$275*COS(2*PI()*L199/L$19*L$20:L$275)+M$20:M$275*SIN(2*PI()*L200/L$19*L$20:L$275))</f>
        <v>6.6258398054374563</v>
      </c>
    </row>
    <row r="201" spans="2:16" x14ac:dyDescent="0.35">
      <c r="B201" s="2">
        <f t="shared" si="54"/>
        <v>181</v>
      </c>
      <c r="C201" s="5" t="str">
        <f t="shared" si="49"/>
        <v/>
      </c>
      <c r="D201">
        <f t="shared" si="50"/>
        <v>-14</v>
      </c>
      <c r="E201" s="5" t="str">
        <f t="shared" si="51"/>
        <v/>
      </c>
      <c r="F201" s="15">
        <f t="shared" si="43"/>
        <v>196</v>
      </c>
      <c r="G201" s="2">
        <f t="shared" si="44"/>
        <v>181</v>
      </c>
      <c r="H201" s="45">
        <f t="shared" si="45"/>
        <v>2.2944662261615929</v>
      </c>
      <c r="I201" s="45">
        <f t="shared" si="52"/>
        <v>415.29838693524829</v>
      </c>
      <c r="J201" s="46">
        <f t="shared" si="53"/>
        <v>32761</v>
      </c>
      <c r="K201" s="2"/>
      <c r="L201" s="2">
        <f t="shared" si="46"/>
        <v>181</v>
      </c>
      <c r="M201" s="18">
        <f t="shared" si="47"/>
        <v>-14</v>
      </c>
      <c r="N201" s="20">
        <v>0</v>
      </c>
      <c r="O201" s="18" cm="1">
        <f t="array" ref="O201">SUMPRODUCT(M$20:M$275*COS(2*PI()*L201/L$19*L$20:L$275)+N$20:N$275*SIN(2*PI()*L201/L$19*L$20:L$275))</f>
        <v>99.175592232254331</v>
      </c>
      <c r="P201" s="20" cm="1">
        <f t="array" ref="P201">SUMPRODUCT(N$20:N$275*COS(2*PI()*L200/L$19*L$20:L$275)+M$20:M$275*SIN(2*PI()*L201/L$19*L$20:L$275))</f>
        <v>-141.85208716525034</v>
      </c>
    </row>
    <row r="202" spans="2:16" x14ac:dyDescent="0.35">
      <c r="B202" s="2">
        <f t="shared" si="54"/>
        <v>182</v>
      </c>
      <c r="C202" s="5" t="str">
        <f t="shared" si="49"/>
        <v/>
      </c>
      <c r="D202">
        <f t="shared" si="50"/>
        <v>-28</v>
      </c>
      <c r="E202" s="5" t="str">
        <f t="shared" si="51"/>
        <v/>
      </c>
      <c r="F202" s="15">
        <f t="shared" si="43"/>
        <v>784</v>
      </c>
      <c r="G202" s="2">
        <f t="shared" si="44"/>
        <v>182</v>
      </c>
      <c r="H202" s="45">
        <f t="shared" si="45"/>
        <v>2.8948696567452528</v>
      </c>
      <c r="I202" s="45">
        <f t="shared" si="52"/>
        <v>526.86627752763604</v>
      </c>
      <c r="J202" s="46">
        <f t="shared" si="53"/>
        <v>33124</v>
      </c>
      <c r="K202" s="2"/>
      <c r="L202" s="2">
        <f t="shared" si="46"/>
        <v>182</v>
      </c>
      <c r="M202" s="18">
        <f t="shared" si="47"/>
        <v>-28</v>
      </c>
      <c r="N202" s="20">
        <v>0</v>
      </c>
      <c r="O202" s="18" cm="1">
        <f t="array" ref="O202">SUMPRODUCT(M$20:M$275*COS(2*PI()*L202/L$19*L$20:L$275)+N$20:N$275*SIN(2*PI()*L202/L$19*L$20:L$275))</f>
        <v>225.27660760979862</v>
      </c>
      <c r="P202" s="20" cm="1">
        <f t="array" ref="P202">SUMPRODUCT(N$20:N$275*COS(2*PI()*L201/L$19*L$20:L$275)+M$20:M$275*SIN(2*PI()*L202/L$19*L$20:L$275))</f>
        <v>-244.72064068955254</v>
      </c>
    </row>
    <row r="203" spans="2:16" x14ac:dyDescent="0.35">
      <c r="B203" s="2">
        <f t="shared" si="54"/>
        <v>183</v>
      </c>
      <c r="C203" s="5" t="str">
        <f t="shared" si="49"/>
        <v/>
      </c>
      <c r="D203">
        <f t="shared" si="50"/>
        <v>-48</v>
      </c>
      <c r="E203" s="5" t="str">
        <f t="shared" si="51"/>
        <v/>
      </c>
      <c r="F203" s="15">
        <f t="shared" si="43"/>
        <v>2304</v>
      </c>
      <c r="G203" s="2">
        <f t="shared" si="44"/>
        <v>183</v>
      </c>
      <c r="H203" s="45">
        <f t="shared" si="45"/>
        <v>3.3626709297256672</v>
      </c>
      <c r="I203" s="45">
        <f t="shared" si="52"/>
        <v>615.36878013979708</v>
      </c>
      <c r="J203" s="46">
        <f t="shared" si="53"/>
        <v>33489</v>
      </c>
      <c r="K203" s="2"/>
      <c r="L203" s="2">
        <f t="shared" si="46"/>
        <v>183</v>
      </c>
      <c r="M203" s="18">
        <f t="shared" si="47"/>
        <v>-48</v>
      </c>
      <c r="N203" s="20">
        <v>0</v>
      </c>
      <c r="O203" s="18" cm="1">
        <f t="array" ref="O203">SUMPRODUCT(M$20:M$275*COS(2*PI()*L203/L$19*L$20:L$275)+N$20:N$275*SIN(2*PI()*L203/L$19*L$20:L$275))</f>
        <v>200.90972497610284</v>
      </c>
      <c r="P203" s="20" cm="1">
        <f t="array" ref="P203">SUMPRODUCT(N$20:N$275*COS(2*PI()*L202/L$19*L$20:L$275)+M$20:M$275*SIN(2*PI()*L203/L$19*L$20:L$275))</f>
        <v>-212.38863645813595</v>
      </c>
    </row>
    <row r="204" spans="2:16" x14ac:dyDescent="0.35">
      <c r="B204" s="2">
        <f t="shared" si="54"/>
        <v>184</v>
      </c>
      <c r="C204" s="5" t="str">
        <f t="shared" si="49"/>
        <v/>
      </c>
      <c r="D204">
        <f t="shared" si="50"/>
        <v>-75</v>
      </c>
      <c r="E204" s="5" t="str">
        <f t="shared" si="51"/>
        <v/>
      </c>
      <c r="F204" s="15">
        <f t="shared" si="43"/>
        <v>5625</v>
      </c>
      <c r="G204" s="2">
        <f t="shared" si="44"/>
        <v>184</v>
      </c>
      <c r="H204" s="45">
        <f t="shared" si="45"/>
        <v>3.7501997278291821</v>
      </c>
      <c r="I204" s="45">
        <f t="shared" si="52"/>
        <v>690.03674992056949</v>
      </c>
      <c r="J204" s="46">
        <f t="shared" si="53"/>
        <v>33856</v>
      </c>
      <c r="K204" s="2"/>
      <c r="L204" s="2">
        <f t="shared" si="46"/>
        <v>184</v>
      </c>
      <c r="M204" s="18">
        <f t="shared" si="47"/>
        <v>-75</v>
      </c>
      <c r="N204" s="20">
        <v>0</v>
      </c>
      <c r="O204" s="18" cm="1">
        <f t="array" ref="O204">SUMPRODUCT(M$20:M$275*COS(2*PI()*L204/L$19*L$20:L$275)+N$20:N$275*SIN(2*PI()*L204/L$19*L$20:L$275))</f>
        <v>258.50145351007995</v>
      </c>
      <c r="P204" s="20" cm="1">
        <f t="array" ref="P204">SUMPRODUCT(N$20:N$275*COS(2*PI()*L203/L$19*L$20:L$275)+M$20:M$275*SIN(2*PI()*L204/L$19*L$20:L$275))</f>
        <v>-167.01345505062463</v>
      </c>
    </row>
    <row r="205" spans="2:16" x14ac:dyDescent="0.35">
      <c r="B205" s="2">
        <f t="shared" si="54"/>
        <v>185</v>
      </c>
      <c r="C205" s="5" t="str">
        <f t="shared" si="49"/>
        <v/>
      </c>
      <c r="D205">
        <f t="shared" si="50"/>
        <v>-121</v>
      </c>
      <c r="E205" s="5" t="str">
        <f t="shared" si="51"/>
        <v/>
      </c>
      <c r="F205" s="15">
        <f t="shared" si="43"/>
        <v>14641</v>
      </c>
      <c r="G205" s="2">
        <f t="shared" si="44"/>
        <v>185</v>
      </c>
      <c r="H205" s="45">
        <f t="shared" si="45"/>
        <v>4.1656004025174118</v>
      </c>
      <c r="I205" s="45">
        <f t="shared" si="52"/>
        <v>770.63607446572121</v>
      </c>
      <c r="J205" s="46">
        <f t="shared" si="53"/>
        <v>34225</v>
      </c>
      <c r="K205" s="2"/>
      <c r="L205" s="2">
        <f t="shared" si="46"/>
        <v>185</v>
      </c>
      <c r="M205" s="18">
        <f t="shared" si="47"/>
        <v>-121</v>
      </c>
      <c r="N205" s="20">
        <v>0</v>
      </c>
      <c r="O205" s="18" cm="1">
        <f t="array" ref="O205">SUMPRODUCT(M$20:M$275*COS(2*PI()*L205/L$19*L$20:L$275)+N$20:N$275*SIN(2*PI()*L205/L$19*L$20:L$275))</f>
        <v>105.44265376767764</v>
      </c>
      <c r="P205" s="20" cm="1">
        <f t="array" ref="P205">SUMPRODUCT(N$20:N$275*COS(2*PI()*L204/L$19*L$20:L$275)+M$20:M$275*SIN(2*PI()*L205/L$19*L$20:L$275))</f>
        <v>-136.09651239741413</v>
      </c>
    </row>
    <row r="206" spans="2:16" x14ac:dyDescent="0.35">
      <c r="B206" s="2">
        <f t="shared" si="54"/>
        <v>186</v>
      </c>
      <c r="C206" s="5" t="str">
        <f t="shared" si="49"/>
        <v/>
      </c>
      <c r="D206">
        <f t="shared" si="50"/>
        <v>-167</v>
      </c>
      <c r="E206" s="5" t="str">
        <f t="shared" si="51"/>
        <v/>
      </c>
      <c r="F206" s="15">
        <f t="shared" si="43"/>
        <v>27889</v>
      </c>
      <c r="G206" s="2">
        <f t="shared" si="44"/>
        <v>186</v>
      </c>
      <c r="H206" s="45">
        <f t="shared" si="45"/>
        <v>4.44544851426605</v>
      </c>
      <c r="I206" s="45">
        <f t="shared" si="52"/>
        <v>826.85342365348527</v>
      </c>
      <c r="J206" s="46">
        <f t="shared" si="53"/>
        <v>34596</v>
      </c>
      <c r="K206" s="2"/>
      <c r="L206" s="2">
        <f t="shared" si="46"/>
        <v>186</v>
      </c>
      <c r="M206" s="18">
        <f t="shared" si="47"/>
        <v>-167</v>
      </c>
      <c r="N206" s="20">
        <v>0</v>
      </c>
      <c r="O206" s="18" cm="1">
        <f t="array" ref="O206">SUMPRODUCT(M$20:M$275*COS(2*PI()*L206/L$19*L$20:L$275)+N$20:N$275*SIN(2*PI()*L206/L$19*L$20:L$275))</f>
        <v>-87.755255086620494</v>
      </c>
      <c r="P206" s="20" cm="1">
        <f t="array" ref="P206">SUMPRODUCT(N$20:N$275*COS(2*PI()*L205/L$19*L$20:L$275)+M$20:M$275*SIN(2*PI()*L206/L$19*L$20:L$275))</f>
        <v>-314.87227282353513</v>
      </c>
    </row>
    <row r="207" spans="2:16" x14ac:dyDescent="0.35">
      <c r="B207" s="2">
        <f t="shared" ref="B207:B270" si="55">B206+1</f>
        <v>187</v>
      </c>
      <c r="C207" s="5" t="str">
        <f t="shared" si="49"/>
        <v/>
      </c>
      <c r="D207">
        <f t="shared" si="50"/>
        <v>-195</v>
      </c>
      <c r="E207" s="5" t="str">
        <f t="shared" si="51"/>
        <v/>
      </c>
      <c r="F207" s="15">
        <f t="shared" si="43"/>
        <v>38025</v>
      </c>
      <c r="G207" s="2">
        <f t="shared" si="44"/>
        <v>187</v>
      </c>
      <c r="H207" s="45">
        <f t="shared" si="45"/>
        <v>4.5800806438630071</v>
      </c>
      <c r="I207" s="45">
        <f t="shared" si="52"/>
        <v>856.47508040238233</v>
      </c>
      <c r="J207" s="46">
        <f t="shared" si="53"/>
        <v>34969</v>
      </c>
      <c r="K207" s="2"/>
      <c r="L207" s="2">
        <f t="shared" si="46"/>
        <v>187</v>
      </c>
      <c r="M207" s="18">
        <f t="shared" si="47"/>
        <v>-195</v>
      </c>
      <c r="N207" s="20">
        <v>0</v>
      </c>
      <c r="O207" s="18" cm="1">
        <f t="array" ref="O207">SUMPRODUCT(M$20:M$275*COS(2*PI()*L207/L$19*L$20:L$275)+N$20:N$275*SIN(2*PI()*L207/L$19*L$20:L$275))</f>
        <v>-3.6778568496317168</v>
      </c>
      <c r="P207" s="20" cm="1">
        <f t="array" ref="P207">SUMPRODUCT(N$20:N$275*COS(2*PI()*L206/L$19*L$20:L$275)+M$20:M$275*SIN(2*PI()*L207/L$19*L$20:L$275))</f>
        <v>-442.34583703241719</v>
      </c>
    </row>
    <row r="208" spans="2:16" x14ac:dyDescent="0.35">
      <c r="B208" s="2">
        <f t="shared" si="55"/>
        <v>188</v>
      </c>
      <c r="C208" s="5" t="str">
        <f t="shared" si="49"/>
        <v/>
      </c>
      <c r="D208">
        <f t="shared" si="50"/>
        <v>-189</v>
      </c>
      <c r="E208" s="5" t="str">
        <f t="shared" si="51"/>
        <v/>
      </c>
      <c r="F208" s="15">
        <f t="shared" si="43"/>
        <v>35721</v>
      </c>
      <c r="G208" s="2">
        <f t="shared" si="44"/>
        <v>188</v>
      </c>
      <c r="H208" s="45">
        <f t="shared" si="45"/>
        <v>4.552935766136109</v>
      </c>
      <c r="I208" s="45">
        <f t="shared" si="52"/>
        <v>855.95192403358851</v>
      </c>
      <c r="J208" s="46">
        <f t="shared" si="53"/>
        <v>35344</v>
      </c>
      <c r="K208" s="2"/>
      <c r="L208" s="2">
        <f t="shared" si="46"/>
        <v>188</v>
      </c>
      <c r="M208" s="18">
        <f t="shared" si="47"/>
        <v>-189</v>
      </c>
      <c r="N208" s="20">
        <v>0</v>
      </c>
      <c r="O208" s="18" cm="1">
        <f t="array" ref="O208">SUMPRODUCT(M$20:M$275*COS(2*PI()*L208/L$19*L$20:L$275)+N$20:N$275*SIN(2*PI()*L208/L$19*L$20:L$275))</f>
        <v>223.48503517920943</v>
      </c>
      <c r="P208" s="20" cm="1">
        <f t="array" ref="P208">SUMPRODUCT(N$20:N$275*COS(2*PI()*L207/L$19*L$20:L$275)+M$20:M$275*SIN(2*PI()*L208/L$19*L$20:L$275))</f>
        <v>-513.10266266408246</v>
      </c>
    </row>
    <row r="209" spans="2:16" x14ac:dyDescent="0.35">
      <c r="B209" s="2">
        <f t="shared" si="55"/>
        <v>189</v>
      </c>
      <c r="C209" s="5" t="str">
        <f t="shared" si="49"/>
        <v/>
      </c>
      <c r="D209">
        <f t="shared" si="50"/>
        <v>-167</v>
      </c>
      <c r="E209" s="5" t="str">
        <f t="shared" si="51"/>
        <v/>
      </c>
      <c r="F209" s="15">
        <f t="shared" si="43"/>
        <v>27889</v>
      </c>
      <c r="G209" s="2">
        <f t="shared" si="44"/>
        <v>189</v>
      </c>
      <c r="H209" s="45">
        <f t="shared" si="45"/>
        <v>4.44544851426605</v>
      </c>
      <c r="I209" s="45">
        <f t="shared" si="52"/>
        <v>840.18976919628346</v>
      </c>
      <c r="J209" s="46">
        <f t="shared" si="53"/>
        <v>35721</v>
      </c>
      <c r="K209" s="2"/>
      <c r="L209" s="2">
        <f t="shared" si="46"/>
        <v>189</v>
      </c>
      <c r="M209" s="18">
        <f t="shared" si="47"/>
        <v>-167</v>
      </c>
      <c r="N209" s="20">
        <v>0</v>
      </c>
      <c r="O209" s="18" cm="1">
        <f t="array" ref="O209">SUMPRODUCT(M$20:M$275*COS(2*PI()*L209/L$19*L$20:L$275)+N$20:N$275*SIN(2*PI()*L209/L$19*L$20:L$275))</f>
        <v>431.89974164284854</v>
      </c>
      <c r="P209" s="20" cm="1">
        <f t="array" ref="P209">SUMPRODUCT(N$20:N$275*COS(2*PI()*L208/L$19*L$20:L$275)+M$20:M$275*SIN(2*PI()*L209/L$19*L$20:L$275))</f>
        <v>-543.16677853612373</v>
      </c>
    </row>
    <row r="210" spans="2:16" x14ac:dyDescent="0.35">
      <c r="B210" s="2">
        <f t="shared" si="55"/>
        <v>190</v>
      </c>
      <c r="C210" s="5" t="str">
        <f t="shared" si="49"/>
        <v/>
      </c>
      <c r="D210">
        <f t="shared" si="50"/>
        <v>-139</v>
      </c>
      <c r="E210" s="5" t="str">
        <f t="shared" si="51"/>
        <v/>
      </c>
      <c r="F210" s="15">
        <f t="shared" si="43"/>
        <v>19321</v>
      </c>
      <c r="G210" s="2">
        <f t="shared" si="44"/>
        <v>190</v>
      </c>
      <c r="H210" s="45">
        <f t="shared" si="45"/>
        <v>4.2860520777735163</v>
      </c>
      <c r="I210" s="45">
        <f t="shared" si="52"/>
        <v>814.34989477696809</v>
      </c>
      <c r="J210" s="46">
        <f t="shared" si="53"/>
        <v>36100</v>
      </c>
      <c r="K210" s="2"/>
      <c r="L210" s="2">
        <f t="shared" si="46"/>
        <v>190</v>
      </c>
      <c r="M210" s="18">
        <f t="shared" si="47"/>
        <v>-139</v>
      </c>
      <c r="N210" s="20">
        <v>0</v>
      </c>
      <c r="O210" s="18" cm="1">
        <f t="array" ref="O210">SUMPRODUCT(M$20:M$275*COS(2*PI()*L210/L$19*L$20:L$275)+N$20:N$275*SIN(2*PI()*L210/L$19*L$20:L$275))</f>
        <v>403.24313208667411</v>
      </c>
      <c r="P210" s="20" cm="1">
        <f t="array" ref="P210">SUMPRODUCT(N$20:N$275*COS(2*PI()*L209/L$19*L$20:L$275)+M$20:M$275*SIN(2*PI()*L210/L$19*L$20:L$275))</f>
        <v>-304.64048434989672</v>
      </c>
    </row>
    <row r="211" spans="2:16" x14ac:dyDescent="0.35">
      <c r="B211" s="2">
        <f t="shared" si="55"/>
        <v>191</v>
      </c>
      <c r="C211" s="5" t="str">
        <f t="shared" si="49"/>
        <v/>
      </c>
      <c r="D211">
        <f t="shared" si="50"/>
        <v>-125</v>
      </c>
      <c r="E211" s="5" t="str">
        <f t="shared" si="51"/>
        <v/>
      </c>
      <c r="F211" s="15">
        <f t="shared" si="43"/>
        <v>15625</v>
      </c>
      <c r="G211" s="2">
        <f t="shared" si="44"/>
        <v>191</v>
      </c>
      <c r="H211" s="45">
        <f t="shared" si="45"/>
        <v>4.1938478199735574</v>
      </c>
      <c r="I211" s="45">
        <f t="shared" si="52"/>
        <v>801.02493361494942</v>
      </c>
      <c r="J211" s="46">
        <f t="shared" si="53"/>
        <v>36481</v>
      </c>
      <c r="K211" s="2"/>
      <c r="L211" s="2">
        <f t="shared" si="46"/>
        <v>191</v>
      </c>
      <c r="M211" s="18">
        <f t="shared" si="47"/>
        <v>-125</v>
      </c>
      <c r="N211" s="20">
        <v>0</v>
      </c>
      <c r="O211" s="18" cm="1">
        <f t="array" ref="O211">SUMPRODUCT(M$20:M$275*COS(2*PI()*L211/L$19*L$20:L$275)+N$20:N$275*SIN(2*PI()*L211/L$19*L$20:L$275))</f>
        <v>535.98144777925359</v>
      </c>
      <c r="P211" s="20" cm="1">
        <f t="array" ref="P211">SUMPRODUCT(N$20:N$275*COS(2*PI()*L210/L$19*L$20:L$275)+M$20:M$275*SIN(2*PI()*L211/L$19*L$20:L$275))</f>
        <v>-59.273010669886517</v>
      </c>
    </row>
    <row r="212" spans="2:16" x14ac:dyDescent="0.35">
      <c r="B212" s="2">
        <f t="shared" si="55"/>
        <v>192</v>
      </c>
      <c r="C212" s="5" t="str">
        <f t="shared" si="49"/>
        <v/>
      </c>
      <c r="D212">
        <f t="shared" si="50"/>
        <v>-126</v>
      </c>
      <c r="E212" s="5" t="str">
        <f t="shared" si="51"/>
        <v/>
      </c>
      <c r="F212" s="15">
        <f t="shared" ref="F212:F275" si="56">D212*D212</f>
        <v>15876</v>
      </c>
      <c r="G212" s="2">
        <f t="shared" ref="G212:G275" si="57">B212</f>
        <v>192</v>
      </c>
      <c r="H212" s="45">
        <f t="shared" ref="H212:H275" si="58">LOG10(1 + F212)</f>
        <v>4.2007684447831712</v>
      </c>
      <c r="I212" s="45">
        <f t="shared" si="52"/>
        <v>806.54754139836882</v>
      </c>
      <c r="J212" s="46">
        <f t="shared" si="53"/>
        <v>36864</v>
      </c>
      <c r="K212" s="2"/>
      <c r="L212" s="2">
        <f t="shared" ref="L212:L275" si="59">B212</f>
        <v>192</v>
      </c>
      <c r="M212" s="18">
        <f t="shared" ref="M212:M275" si="60">D212</f>
        <v>-126</v>
      </c>
      <c r="N212" s="20">
        <v>0</v>
      </c>
      <c r="O212" s="18" cm="1">
        <f t="array" ref="O212">SUMPRODUCT(M$20:M$275*COS(2*PI()*L212/L$19*L$20:L$275)+N$20:N$275*SIN(2*PI()*L212/L$19*L$20:L$275))</f>
        <v>152.00000000004721</v>
      </c>
      <c r="P212" s="20" cm="1">
        <f t="array" ref="P212">SUMPRODUCT(N$20:N$275*COS(2*PI()*L211/L$19*L$20:L$275)+M$20:M$275*SIN(2*PI()*L212/L$19*L$20:L$275))</f>
        <v>48.000000000115179</v>
      </c>
    </row>
    <row r="213" spans="2:16" x14ac:dyDescent="0.35">
      <c r="B213" s="2">
        <f t="shared" si="55"/>
        <v>193</v>
      </c>
      <c r="C213" s="5" t="str">
        <f t="shared" ref="C213:C275" si="61">IF(INT(B213/$T$14*1000) = INT(B212/$T$14*1000),"",B213/$T$14*1000)</f>
        <v/>
      </c>
      <c r="D213">
        <f t="shared" ref="D213:D274" si="62">INT(MID(A$3,FIND("#", SUBSTITUTE(A$3, ",", "#", B213)) + 1, FIND("#", SUBSTITUTE(A$3, ",", "#", B213+1)) - FIND("#", SUBSTITUTE(A$3, ",", "#", B213))-1))</f>
        <v>-104</v>
      </c>
      <c r="E213" s="5" t="str">
        <f t="shared" ref="E213:E275" si="63">IF(SIGN(D213)&lt;&gt;SIGN(D212),1,"")</f>
        <v/>
      </c>
      <c r="F213" s="15">
        <f t="shared" si="56"/>
        <v>10816</v>
      </c>
      <c r="G213" s="2">
        <f t="shared" si="57"/>
        <v>193</v>
      </c>
      <c r="H213" s="45">
        <f t="shared" si="58"/>
        <v>4.0341068297076434</v>
      </c>
      <c r="I213" s="45">
        <f t="shared" ref="I213:I275" si="64">G213*H213</f>
        <v>778.58261813357524</v>
      </c>
      <c r="J213" s="46">
        <f t="shared" ref="J213:J275" si="65">G213*G213</f>
        <v>37249</v>
      </c>
      <c r="K213" s="2"/>
      <c r="L213" s="2">
        <f t="shared" si="59"/>
        <v>193</v>
      </c>
      <c r="M213" s="18">
        <f t="shared" si="60"/>
        <v>-104</v>
      </c>
      <c r="N213" s="20">
        <v>0</v>
      </c>
      <c r="O213" s="18" cm="1">
        <f t="array" ref="O213">SUMPRODUCT(M$20:M$275*COS(2*PI()*L213/L$19*L$20:L$275)+N$20:N$275*SIN(2*PI()*L213/L$19*L$20:L$275))</f>
        <v>124.79145371320047</v>
      </c>
      <c r="P213" s="20" cm="1">
        <f t="array" ref="P213">SUMPRODUCT(N$20:N$275*COS(2*PI()*L212/L$19*L$20:L$275)+M$20:M$275*SIN(2*PI()*L213/L$19*L$20:L$275))</f>
        <v>-100.4708049499732</v>
      </c>
    </row>
    <row r="214" spans="2:16" x14ac:dyDescent="0.35">
      <c r="B214" s="2">
        <f t="shared" si="55"/>
        <v>194</v>
      </c>
      <c r="C214" s="5" t="str">
        <f t="shared" si="61"/>
        <v/>
      </c>
      <c r="D214">
        <f t="shared" si="62"/>
        <v>-65</v>
      </c>
      <c r="E214" s="5" t="str">
        <f t="shared" si="63"/>
        <v/>
      </c>
      <c r="F214" s="15">
        <f t="shared" si="56"/>
        <v>4225</v>
      </c>
      <c r="G214" s="2">
        <f t="shared" si="57"/>
        <v>194</v>
      </c>
      <c r="H214" s="45">
        <f t="shared" si="58"/>
        <v>3.6259294927162946</v>
      </c>
      <c r="I214" s="45">
        <f t="shared" si="64"/>
        <v>703.4303215869611</v>
      </c>
      <c r="J214" s="46">
        <f t="shared" si="65"/>
        <v>37636</v>
      </c>
      <c r="K214" s="2"/>
      <c r="L214" s="2">
        <f t="shared" si="59"/>
        <v>194</v>
      </c>
      <c r="M214" s="18">
        <f t="shared" si="60"/>
        <v>-65</v>
      </c>
      <c r="N214" s="20">
        <v>0</v>
      </c>
      <c r="O214" s="18" cm="1">
        <f t="array" ref="O214">SUMPRODUCT(M$20:M$275*COS(2*PI()*L214/L$19*L$20:L$275)+N$20:N$275*SIN(2*PI()*L214/L$19*L$20:L$275))</f>
        <v>58.140916937934996</v>
      </c>
      <c r="P214" s="20" cm="1">
        <f t="array" ref="P214">SUMPRODUCT(N$20:N$275*COS(2*PI()*L213/L$19*L$20:L$275)+M$20:M$275*SIN(2*PI()*L214/L$19*L$20:L$275))</f>
        <v>-333.01152836728431</v>
      </c>
    </row>
    <row r="215" spans="2:16" x14ac:dyDescent="0.35">
      <c r="B215" s="2">
        <f t="shared" si="55"/>
        <v>195</v>
      </c>
      <c r="C215" s="5" t="str">
        <f t="shared" si="61"/>
        <v/>
      </c>
      <c r="D215">
        <f t="shared" si="62"/>
        <v>-46</v>
      </c>
      <c r="E215" s="5" t="str">
        <f t="shared" si="63"/>
        <v/>
      </c>
      <c r="F215" s="15">
        <f t="shared" si="56"/>
        <v>2116</v>
      </c>
      <c r="G215" s="2">
        <f t="shared" si="57"/>
        <v>195</v>
      </c>
      <c r="H215" s="45">
        <f t="shared" si="58"/>
        <v>3.325720858019412</v>
      </c>
      <c r="I215" s="45">
        <f t="shared" si="64"/>
        <v>648.51556731378537</v>
      </c>
      <c r="J215" s="46">
        <f t="shared" si="65"/>
        <v>38025</v>
      </c>
      <c r="K215" s="2"/>
      <c r="L215" s="2">
        <f t="shared" si="59"/>
        <v>195</v>
      </c>
      <c r="M215" s="18">
        <f t="shared" si="60"/>
        <v>-46</v>
      </c>
      <c r="N215" s="20">
        <v>0</v>
      </c>
      <c r="O215" s="18" cm="1">
        <f t="array" ref="O215">SUMPRODUCT(M$20:M$275*COS(2*PI()*L215/L$19*L$20:L$275)+N$20:N$275*SIN(2*PI()*L215/L$19*L$20:L$275))</f>
        <v>189.34190453945419</v>
      </c>
      <c r="P215" s="20" cm="1">
        <f t="array" ref="P215">SUMPRODUCT(N$20:N$275*COS(2*PI()*L214/L$19*L$20:L$275)+M$20:M$275*SIN(2*PI()*L215/L$19*L$20:L$275))</f>
        <v>-780.26538616592882</v>
      </c>
    </row>
    <row r="216" spans="2:16" x14ac:dyDescent="0.35">
      <c r="B216" s="2">
        <f t="shared" si="55"/>
        <v>196</v>
      </c>
      <c r="C216" s="5" t="str">
        <f t="shared" si="61"/>
        <v/>
      </c>
      <c r="D216">
        <f t="shared" si="62"/>
        <v>-60</v>
      </c>
      <c r="E216" s="5" t="str">
        <f t="shared" si="63"/>
        <v/>
      </c>
      <c r="F216" s="15">
        <f t="shared" si="56"/>
        <v>3600</v>
      </c>
      <c r="G216" s="2">
        <f t="shared" si="57"/>
        <v>196</v>
      </c>
      <c r="H216" s="45">
        <f t="shared" si="58"/>
        <v>3.5564231213712851</v>
      </c>
      <c r="I216" s="45">
        <f t="shared" si="64"/>
        <v>697.05893178877193</v>
      </c>
      <c r="J216" s="46">
        <f t="shared" si="65"/>
        <v>38416</v>
      </c>
      <c r="K216" s="2"/>
      <c r="L216" s="2">
        <f t="shared" si="59"/>
        <v>196</v>
      </c>
      <c r="M216" s="18">
        <f t="shared" si="60"/>
        <v>-60</v>
      </c>
      <c r="N216" s="20">
        <v>0</v>
      </c>
      <c r="O216" s="18" cm="1">
        <f t="array" ref="O216">SUMPRODUCT(M$20:M$275*COS(2*PI()*L216/L$19*L$20:L$275)+N$20:N$275*SIN(2*PI()*L216/L$19*L$20:L$275))</f>
        <v>816.37659388813256</v>
      </c>
      <c r="P216" s="20" cm="1">
        <f t="array" ref="P216">SUMPRODUCT(N$20:N$275*COS(2*PI()*L215/L$19*L$20:L$275)+M$20:M$275*SIN(2*PI()*L216/L$19*L$20:L$275))</f>
        <v>-443.36224074893346</v>
      </c>
    </row>
    <row r="217" spans="2:16" x14ac:dyDescent="0.35">
      <c r="B217" s="2">
        <f t="shared" si="55"/>
        <v>197</v>
      </c>
      <c r="C217" s="5" t="str">
        <f t="shared" si="61"/>
        <v/>
      </c>
      <c r="D217">
        <f t="shared" si="62"/>
        <v>-72</v>
      </c>
      <c r="E217" s="5" t="str">
        <f t="shared" si="63"/>
        <v/>
      </c>
      <c r="F217" s="15">
        <f t="shared" si="56"/>
        <v>5184</v>
      </c>
      <c r="G217" s="2">
        <f t="shared" si="57"/>
        <v>197</v>
      </c>
      <c r="H217" s="45">
        <f t="shared" si="58"/>
        <v>3.7147487607250596</v>
      </c>
      <c r="I217" s="45">
        <f t="shared" si="64"/>
        <v>731.80550586283675</v>
      </c>
      <c r="J217" s="46">
        <f t="shared" si="65"/>
        <v>38809</v>
      </c>
      <c r="K217" s="2"/>
      <c r="L217" s="2">
        <f t="shared" si="59"/>
        <v>197</v>
      </c>
      <c r="M217" s="18">
        <f t="shared" si="60"/>
        <v>-72</v>
      </c>
      <c r="N217" s="20">
        <v>0</v>
      </c>
      <c r="O217" s="18" cm="1">
        <f t="array" ref="O217">SUMPRODUCT(M$20:M$275*COS(2*PI()*L217/L$19*L$20:L$275)+N$20:N$275*SIN(2*PI()*L217/L$19*L$20:L$275))</f>
        <v>947.12685012844975</v>
      </c>
      <c r="P217" s="20" cm="1">
        <f t="array" ref="P217">SUMPRODUCT(N$20:N$275*COS(2*PI()*L216/L$19*L$20:L$275)+M$20:M$275*SIN(2*PI()*L217/L$19*L$20:L$275))</f>
        <v>-11.227372867662599</v>
      </c>
    </row>
    <row r="218" spans="2:16" x14ac:dyDescent="0.35">
      <c r="B218" s="2">
        <f t="shared" si="55"/>
        <v>198</v>
      </c>
      <c r="C218" s="5" t="str">
        <f t="shared" si="61"/>
        <v/>
      </c>
      <c r="D218">
        <f t="shared" si="62"/>
        <v>-51</v>
      </c>
      <c r="E218" s="5" t="str">
        <f t="shared" si="63"/>
        <v/>
      </c>
      <c r="F218" s="15">
        <f t="shared" si="56"/>
        <v>2601</v>
      </c>
      <c r="G218" s="2">
        <f t="shared" si="57"/>
        <v>198</v>
      </c>
      <c r="H218" s="45">
        <f t="shared" si="58"/>
        <v>3.4153072922255676</v>
      </c>
      <c r="I218" s="45">
        <f t="shared" si="64"/>
        <v>676.23084386066239</v>
      </c>
      <c r="J218" s="46">
        <f t="shared" si="65"/>
        <v>39204</v>
      </c>
      <c r="K218" s="2"/>
      <c r="L218" s="2">
        <f t="shared" si="59"/>
        <v>198</v>
      </c>
      <c r="M218" s="18">
        <f t="shared" si="60"/>
        <v>-51</v>
      </c>
      <c r="N218" s="20">
        <v>0</v>
      </c>
      <c r="O218" s="18" cm="1">
        <f t="array" ref="O218">SUMPRODUCT(M$20:M$275*COS(2*PI()*L218/L$19*L$20:L$275)+N$20:N$275*SIN(2*PI()*L218/L$19*L$20:L$275))</f>
        <v>539.19380341615886</v>
      </c>
      <c r="P218" s="20" cm="1">
        <f t="array" ref="P218">SUMPRODUCT(N$20:N$275*COS(2*PI()*L217/L$19*L$20:L$275)+M$20:M$275*SIN(2*PI()*L218/L$19*L$20:L$275))</f>
        <v>784.05082879156839</v>
      </c>
    </row>
    <row r="219" spans="2:16" x14ac:dyDescent="0.35">
      <c r="B219" s="2">
        <f t="shared" si="55"/>
        <v>199</v>
      </c>
      <c r="C219" s="5" t="str">
        <f t="shared" si="61"/>
        <v/>
      </c>
      <c r="D219">
        <f t="shared" si="62"/>
        <v>12</v>
      </c>
      <c r="E219" s="5">
        <f t="shared" si="63"/>
        <v>1</v>
      </c>
      <c r="F219" s="15">
        <f t="shared" si="56"/>
        <v>144</v>
      </c>
      <c r="G219" s="2">
        <f t="shared" si="57"/>
        <v>199</v>
      </c>
      <c r="H219" s="45">
        <f t="shared" si="58"/>
        <v>2.1613680022349748</v>
      </c>
      <c r="I219" s="45">
        <f t="shared" si="64"/>
        <v>430.11223244475997</v>
      </c>
      <c r="J219" s="46">
        <f t="shared" si="65"/>
        <v>39601</v>
      </c>
      <c r="K219" s="2"/>
      <c r="L219" s="2">
        <f t="shared" si="59"/>
        <v>199</v>
      </c>
      <c r="M219" s="18">
        <f t="shared" si="60"/>
        <v>12</v>
      </c>
      <c r="N219" s="20">
        <v>0</v>
      </c>
      <c r="O219" s="18" cm="1">
        <f t="array" ref="O219">SUMPRODUCT(M$20:M$275*COS(2*PI()*L219/L$19*L$20:L$275)+N$20:N$275*SIN(2*PI()*L219/L$19*L$20:L$275))</f>
        <v>-450.89539976282708</v>
      </c>
      <c r="P219" s="20" cm="1">
        <f t="array" ref="P219">SUMPRODUCT(N$20:N$275*COS(2*PI()*L218/L$19*L$20:L$275)+M$20:M$275*SIN(2*PI()*L219/L$19*L$20:L$275))</f>
        <v>875.52313054711294</v>
      </c>
    </row>
    <row r="220" spans="2:16" x14ac:dyDescent="0.35">
      <c r="B220" s="2">
        <f t="shared" si="55"/>
        <v>200</v>
      </c>
      <c r="C220" s="5" t="str">
        <f t="shared" si="61"/>
        <v/>
      </c>
      <c r="D220">
        <f t="shared" si="62"/>
        <v>67</v>
      </c>
      <c r="E220" s="5" t="str">
        <f t="shared" si="63"/>
        <v/>
      </c>
      <c r="F220" s="15">
        <f t="shared" si="56"/>
        <v>4489</v>
      </c>
      <c r="G220" s="2">
        <f t="shared" si="57"/>
        <v>200</v>
      </c>
      <c r="H220" s="45">
        <f t="shared" si="58"/>
        <v>3.6522463410033232</v>
      </c>
      <c r="I220" s="45">
        <f t="shared" si="64"/>
        <v>730.44926820066462</v>
      </c>
      <c r="J220" s="46">
        <f t="shared" si="65"/>
        <v>40000</v>
      </c>
      <c r="K220" s="2"/>
      <c r="L220" s="2">
        <f t="shared" si="59"/>
        <v>200</v>
      </c>
      <c r="M220" s="18">
        <f t="shared" si="60"/>
        <v>67</v>
      </c>
      <c r="N220" s="20">
        <v>0</v>
      </c>
      <c r="O220" s="18" cm="1">
        <f t="array" ref="O220">SUMPRODUCT(M$20:M$275*COS(2*PI()*L220/L$19*L$20:L$275)+N$20:N$275*SIN(2*PI()*L220/L$19*L$20:L$275))</f>
        <v>-719.08132036750567</v>
      </c>
      <c r="P220" s="20" cm="1">
        <f t="array" ref="P220">SUMPRODUCT(N$20:N$275*COS(2*PI()*L219/L$19*L$20:L$275)+M$20:M$275*SIN(2*PI()*L220/L$19*L$20:L$275))</f>
        <v>125.28026628860034</v>
      </c>
    </row>
    <row r="221" spans="2:16" x14ac:dyDescent="0.35">
      <c r="B221" s="2">
        <f t="shared" si="55"/>
        <v>201</v>
      </c>
      <c r="C221" s="5" t="str">
        <f t="shared" si="61"/>
        <v/>
      </c>
      <c r="D221">
        <f t="shared" si="62"/>
        <v>94</v>
      </c>
      <c r="E221" s="5" t="str">
        <f t="shared" si="63"/>
        <v/>
      </c>
      <c r="F221" s="15">
        <f t="shared" si="56"/>
        <v>8836</v>
      </c>
      <c r="G221" s="2">
        <f t="shared" si="57"/>
        <v>201</v>
      </c>
      <c r="H221" s="45">
        <f t="shared" si="58"/>
        <v>3.9463048549934747</v>
      </c>
      <c r="I221" s="45">
        <f t="shared" si="64"/>
        <v>793.20727585368843</v>
      </c>
      <c r="J221" s="46">
        <f t="shared" si="65"/>
        <v>40401</v>
      </c>
      <c r="K221" s="2"/>
      <c r="L221" s="2">
        <f t="shared" si="59"/>
        <v>201</v>
      </c>
      <c r="M221" s="18">
        <f t="shared" si="60"/>
        <v>94</v>
      </c>
      <c r="N221" s="20">
        <v>0</v>
      </c>
      <c r="O221" s="18" cm="1">
        <f t="array" ref="O221">SUMPRODUCT(M$20:M$275*COS(2*PI()*L221/L$19*L$20:L$275)+N$20:N$275*SIN(2*PI()*L221/L$19*L$20:L$275))</f>
        <v>65.298180069866433</v>
      </c>
      <c r="P221" s="20" cm="1">
        <f t="array" ref="P221">SUMPRODUCT(N$20:N$275*COS(2*PI()*L220/L$19*L$20:L$275)+M$20:M$275*SIN(2*PI()*L221/L$19*L$20:L$275))</f>
        <v>118.06612598759114</v>
      </c>
    </row>
    <row r="222" spans="2:16" x14ac:dyDescent="0.35">
      <c r="B222" s="2">
        <f t="shared" si="55"/>
        <v>202</v>
      </c>
      <c r="C222" s="5" t="str">
        <f t="shared" si="61"/>
        <v/>
      </c>
      <c r="D222">
        <f t="shared" si="62"/>
        <v>103</v>
      </c>
      <c r="E222" s="5" t="str">
        <f t="shared" si="63"/>
        <v/>
      </c>
      <c r="F222" s="15">
        <f t="shared" si="56"/>
        <v>10609</v>
      </c>
      <c r="G222" s="2">
        <f t="shared" si="57"/>
        <v>202</v>
      </c>
      <c r="H222" s="45">
        <f t="shared" si="58"/>
        <v>4.0257153839013409</v>
      </c>
      <c r="I222" s="45">
        <f t="shared" si="64"/>
        <v>813.19450754807087</v>
      </c>
      <c r="J222" s="46">
        <f t="shared" si="65"/>
        <v>40804</v>
      </c>
      <c r="K222" s="2"/>
      <c r="L222" s="2">
        <f t="shared" si="59"/>
        <v>202</v>
      </c>
      <c r="M222" s="18">
        <f t="shared" si="60"/>
        <v>103</v>
      </c>
      <c r="N222" s="20">
        <v>0</v>
      </c>
      <c r="O222" s="18" cm="1">
        <f t="array" ref="O222">SUMPRODUCT(M$20:M$275*COS(2*PI()*L222/L$19*L$20:L$275)+N$20:N$275*SIN(2*PI()*L222/L$19*L$20:L$275))</f>
        <v>-173.05087210820801</v>
      </c>
      <c r="P222" s="20" cm="1">
        <f t="array" ref="P222">SUMPRODUCT(N$20:N$275*COS(2*PI()*L221/L$19*L$20:L$275)+M$20:M$275*SIN(2*PI()*L222/L$19*L$20:L$275))</f>
        <v>215.91611939445377</v>
      </c>
    </row>
    <row r="223" spans="2:16" x14ac:dyDescent="0.35">
      <c r="B223" s="2">
        <f t="shared" si="55"/>
        <v>203</v>
      </c>
      <c r="C223" s="5" t="str">
        <f t="shared" si="61"/>
        <v/>
      </c>
      <c r="D223">
        <f t="shared" si="62"/>
        <v>110</v>
      </c>
      <c r="E223" s="5" t="str">
        <f t="shared" si="63"/>
        <v/>
      </c>
      <c r="F223" s="15">
        <f t="shared" si="56"/>
        <v>12100</v>
      </c>
      <c r="G223" s="2">
        <f t="shared" si="57"/>
        <v>203</v>
      </c>
      <c r="H223" s="45">
        <f t="shared" si="58"/>
        <v>4.0828212609393297</v>
      </c>
      <c r="I223" s="45">
        <f t="shared" si="64"/>
        <v>828.81271597068394</v>
      </c>
      <c r="J223" s="46">
        <f t="shared" si="65"/>
        <v>41209</v>
      </c>
      <c r="K223" s="2"/>
      <c r="L223" s="2">
        <f t="shared" si="59"/>
        <v>203</v>
      </c>
      <c r="M223" s="18">
        <f t="shared" si="60"/>
        <v>110</v>
      </c>
      <c r="N223" s="20">
        <v>0</v>
      </c>
      <c r="O223" s="18" cm="1">
        <f t="array" ref="O223">SUMPRODUCT(M$20:M$275*COS(2*PI()*L223/L$19*L$20:L$275)+N$20:N$275*SIN(2*PI()*L223/L$19*L$20:L$275))</f>
        <v>-1772.0145549264166</v>
      </c>
      <c r="P223" s="20" cm="1">
        <f t="array" ref="P223">SUMPRODUCT(N$20:N$275*COS(2*PI()*L222/L$19*L$20:L$275)+M$20:M$275*SIN(2*PI()*L223/L$19*L$20:L$275))</f>
        <v>-617.99827825712168</v>
      </c>
    </row>
    <row r="224" spans="2:16" x14ac:dyDescent="0.35">
      <c r="B224" s="2">
        <f t="shared" si="55"/>
        <v>204</v>
      </c>
      <c r="C224" s="5" t="str">
        <f t="shared" si="61"/>
        <v/>
      </c>
      <c r="D224">
        <f t="shared" si="62"/>
        <v>111</v>
      </c>
      <c r="E224" s="5" t="str">
        <f t="shared" si="63"/>
        <v/>
      </c>
      <c r="F224" s="15">
        <f t="shared" si="56"/>
        <v>12321</v>
      </c>
      <c r="G224" s="2">
        <f t="shared" si="57"/>
        <v>204</v>
      </c>
      <c r="H224" s="45">
        <f t="shared" si="58"/>
        <v>4.0906812044573906</v>
      </c>
      <c r="I224" s="45">
        <f t="shared" si="64"/>
        <v>834.49896570930764</v>
      </c>
      <c r="J224" s="46">
        <f t="shared" si="65"/>
        <v>41616</v>
      </c>
      <c r="K224" s="2"/>
      <c r="L224" s="2">
        <f t="shared" si="59"/>
        <v>204</v>
      </c>
      <c r="M224" s="18">
        <f t="shared" si="60"/>
        <v>111</v>
      </c>
      <c r="N224" s="20">
        <v>0</v>
      </c>
      <c r="O224" s="18" cm="1">
        <f t="array" ref="O224">SUMPRODUCT(M$20:M$275*COS(2*PI()*L224/L$19*L$20:L$275)+N$20:N$275*SIN(2*PI()*L224/L$19*L$20:L$275))</f>
        <v>-1139.9921663097871</v>
      </c>
      <c r="P224" s="20" cm="1">
        <f t="array" ref="P224">SUMPRODUCT(N$20:N$275*COS(2*PI()*L223/L$19*L$20:L$275)+M$20:M$275*SIN(2*PI()*L224/L$19*L$20:L$275))</f>
        <v>-1219.7763102385018</v>
      </c>
    </row>
    <row r="225" spans="2:16" x14ac:dyDescent="0.35">
      <c r="B225" s="2">
        <f t="shared" si="55"/>
        <v>205</v>
      </c>
      <c r="C225" s="5" t="str">
        <f t="shared" si="61"/>
        <v/>
      </c>
      <c r="D225">
        <f t="shared" si="62"/>
        <v>88</v>
      </c>
      <c r="E225" s="5" t="str">
        <f t="shared" si="63"/>
        <v/>
      </c>
      <c r="F225" s="15">
        <f t="shared" si="56"/>
        <v>7744</v>
      </c>
      <c r="G225" s="2">
        <f t="shared" si="57"/>
        <v>205</v>
      </c>
      <c r="H225" s="45">
        <f t="shared" si="58"/>
        <v>3.8890214220952246</v>
      </c>
      <c r="I225" s="45">
        <f t="shared" si="64"/>
        <v>797.24939152952106</v>
      </c>
      <c r="J225" s="46">
        <f t="shared" si="65"/>
        <v>42025</v>
      </c>
      <c r="K225" s="2"/>
      <c r="L225" s="2">
        <f t="shared" si="59"/>
        <v>205</v>
      </c>
      <c r="M225" s="18">
        <f t="shared" si="60"/>
        <v>88</v>
      </c>
      <c r="N225" s="20">
        <v>0</v>
      </c>
      <c r="O225" s="18" cm="1">
        <f t="array" ref="O225">SUMPRODUCT(M$20:M$275*COS(2*PI()*L225/L$19*L$20:L$275)+N$20:N$275*SIN(2*PI()*L225/L$19*L$20:L$275))</f>
        <v>-717.30620906370427</v>
      </c>
      <c r="P225" s="20" cm="1">
        <f t="array" ref="P225">SUMPRODUCT(N$20:N$275*COS(2*PI()*L224/L$19*L$20:L$275)+M$20:M$275*SIN(2*PI()*L225/L$19*L$20:L$275))</f>
        <v>-1508.6259563089843</v>
      </c>
    </row>
    <row r="226" spans="2:16" x14ac:dyDescent="0.35">
      <c r="B226" s="2">
        <f t="shared" si="55"/>
        <v>206</v>
      </c>
      <c r="C226" s="5" t="str">
        <f t="shared" si="61"/>
        <v/>
      </c>
      <c r="D226">
        <f t="shared" si="62"/>
        <v>45</v>
      </c>
      <c r="E226" s="5" t="str">
        <f t="shared" si="63"/>
        <v/>
      </c>
      <c r="F226" s="15">
        <f t="shared" si="56"/>
        <v>2025</v>
      </c>
      <c r="G226" s="2">
        <f t="shared" si="57"/>
        <v>206</v>
      </c>
      <c r="H226" s="45">
        <f t="shared" si="58"/>
        <v>3.3066394410242617</v>
      </c>
      <c r="I226" s="45">
        <f t="shared" si="64"/>
        <v>681.16772485099796</v>
      </c>
      <c r="J226" s="46">
        <f t="shared" si="65"/>
        <v>42436</v>
      </c>
      <c r="K226" s="2"/>
      <c r="L226" s="2">
        <f t="shared" si="59"/>
        <v>206</v>
      </c>
      <c r="M226" s="18">
        <f t="shared" si="60"/>
        <v>45</v>
      </c>
      <c r="N226" s="20">
        <v>0</v>
      </c>
      <c r="O226" s="18" cm="1">
        <f t="array" ref="O226">SUMPRODUCT(M$20:M$275*COS(2*PI()*L226/L$19*L$20:L$275)+N$20:N$275*SIN(2*PI()*L226/L$19*L$20:L$275))</f>
        <v>-179.07908530629018</v>
      </c>
      <c r="P226" s="20" cm="1">
        <f t="array" ref="P226">SUMPRODUCT(N$20:N$275*COS(2*PI()*L225/L$19*L$20:L$275)+M$20:M$275*SIN(2*PI()*L226/L$19*L$20:L$275))</f>
        <v>-1762.8037529909441</v>
      </c>
    </row>
    <row r="227" spans="2:16" x14ac:dyDescent="0.35">
      <c r="B227" s="2">
        <f t="shared" si="55"/>
        <v>207</v>
      </c>
      <c r="C227" s="5" t="str">
        <f t="shared" si="61"/>
        <v/>
      </c>
      <c r="D227">
        <f t="shared" si="62"/>
        <v>-9</v>
      </c>
      <c r="E227" s="5">
        <f t="shared" si="63"/>
        <v>1</v>
      </c>
      <c r="F227" s="15">
        <f t="shared" si="56"/>
        <v>81</v>
      </c>
      <c r="G227" s="2">
        <f t="shared" si="57"/>
        <v>207</v>
      </c>
      <c r="H227" s="45">
        <f t="shared" si="58"/>
        <v>1.9138138523837167</v>
      </c>
      <c r="I227" s="45">
        <f t="shared" si="64"/>
        <v>396.15946744342938</v>
      </c>
      <c r="J227" s="46">
        <f t="shared" si="65"/>
        <v>42849</v>
      </c>
      <c r="K227" s="2"/>
      <c r="L227" s="2">
        <f t="shared" si="59"/>
        <v>207</v>
      </c>
      <c r="M227" s="18">
        <f t="shared" si="60"/>
        <v>-9</v>
      </c>
      <c r="N227" s="20">
        <v>0</v>
      </c>
      <c r="O227" s="18" cm="1">
        <f t="array" ref="O227">SUMPRODUCT(M$20:M$275*COS(2*PI()*L227/L$19*L$20:L$275)+N$20:N$275*SIN(2*PI()*L227/L$19*L$20:L$275))</f>
        <v>587.20639339219406</v>
      </c>
      <c r="P227" s="20" cm="1">
        <f t="array" ref="P227">SUMPRODUCT(N$20:N$275*COS(2*PI()*L226/L$19*L$20:L$275)+M$20:M$275*SIN(2*PI()*L227/L$19*L$20:L$275))</f>
        <v>-1469.2255757061055</v>
      </c>
    </row>
    <row r="228" spans="2:16" x14ac:dyDescent="0.35">
      <c r="B228" s="2">
        <f t="shared" si="55"/>
        <v>208</v>
      </c>
      <c r="C228" s="5" t="str">
        <f t="shared" si="61"/>
        <v/>
      </c>
      <c r="D228">
        <f t="shared" si="62"/>
        <v>-57</v>
      </c>
      <c r="E228" s="5" t="str">
        <f t="shared" si="63"/>
        <v/>
      </c>
      <c r="F228" s="15">
        <f t="shared" si="56"/>
        <v>3249</v>
      </c>
      <c r="G228" s="2">
        <f t="shared" si="57"/>
        <v>208</v>
      </c>
      <c r="H228" s="45">
        <f t="shared" si="58"/>
        <v>3.5118833609788744</v>
      </c>
      <c r="I228" s="45">
        <f t="shared" si="64"/>
        <v>730.47173908360583</v>
      </c>
      <c r="J228" s="46">
        <f t="shared" si="65"/>
        <v>43264</v>
      </c>
      <c r="K228" s="2"/>
      <c r="L228" s="2">
        <f t="shared" si="59"/>
        <v>208</v>
      </c>
      <c r="M228" s="18">
        <f t="shared" si="60"/>
        <v>-57</v>
      </c>
      <c r="N228" s="20">
        <v>0</v>
      </c>
      <c r="O228" s="18" cm="1">
        <f t="array" ref="O228">SUMPRODUCT(M$20:M$275*COS(2*PI()*L228/L$19*L$20:L$275)+N$20:N$275*SIN(2*PI()*L228/L$19*L$20:L$275))</f>
        <v>1094.6804959697201</v>
      </c>
      <c r="P228" s="20" cm="1">
        <f t="array" ref="P228">SUMPRODUCT(N$20:N$275*COS(2*PI()*L227/L$19*L$20:L$275)+M$20:M$275*SIN(2*PI()*L228/L$19*L$20:L$275))</f>
        <v>-1677.1252320509052</v>
      </c>
    </row>
    <row r="229" spans="2:16" x14ac:dyDescent="0.35">
      <c r="B229" s="2">
        <f t="shared" si="55"/>
        <v>209</v>
      </c>
      <c r="C229" s="5" t="str">
        <f t="shared" si="61"/>
        <v/>
      </c>
      <c r="D229">
        <f t="shared" si="62"/>
        <v>-83</v>
      </c>
      <c r="E229" s="5" t="str">
        <f t="shared" si="63"/>
        <v/>
      </c>
      <c r="F229" s="15">
        <f t="shared" si="56"/>
        <v>6889</v>
      </c>
      <c r="G229" s="2">
        <f t="shared" si="57"/>
        <v>209</v>
      </c>
      <c r="H229" s="45">
        <f t="shared" si="58"/>
        <v>3.8382192219076257</v>
      </c>
      <c r="I229" s="45">
        <f t="shared" si="64"/>
        <v>802.18781737869381</v>
      </c>
      <c r="J229" s="46">
        <f t="shared" si="65"/>
        <v>43681</v>
      </c>
      <c r="K229" s="2"/>
      <c r="L229" s="2">
        <f t="shared" si="59"/>
        <v>209</v>
      </c>
      <c r="M229" s="18">
        <f t="shared" si="60"/>
        <v>-83</v>
      </c>
      <c r="N229" s="20">
        <v>0</v>
      </c>
      <c r="O229" s="18" cm="1">
        <f t="array" ref="O229">SUMPRODUCT(M$20:M$275*COS(2*PI()*L229/L$19*L$20:L$275)+N$20:N$275*SIN(2*PI()*L229/L$19*L$20:L$275))</f>
        <v>1807.463739240015</v>
      </c>
      <c r="P229" s="20" cm="1">
        <f t="array" ref="P229">SUMPRODUCT(N$20:N$275*COS(2*PI()*L228/L$19*L$20:L$275)+M$20:M$275*SIN(2*PI()*L229/L$19*L$20:L$275))</f>
        <v>18.786946685883805</v>
      </c>
    </row>
    <row r="230" spans="2:16" x14ac:dyDescent="0.35">
      <c r="B230" s="2">
        <f t="shared" si="55"/>
        <v>210</v>
      </c>
      <c r="C230" s="5" t="str">
        <f t="shared" si="61"/>
        <v/>
      </c>
      <c r="D230">
        <f t="shared" si="62"/>
        <v>-82</v>
      </c>
      <c r="E230" s="5" t="str">
        <f t="shared" si="63"/>
        <v/>
      </c>
      <c r="F230" s="15">
        <f t="shared" si="56"/>
        <v>6724</v>
      </c>
      <c r="G230" s="2">
        <f t="shared" si="57"/>
        <v>210</v>
      </c>
      <c r="H230" s="45">
        <f t="shared" si="58"/>
        <v>3.8276922886744456</v>
      </c>
      <c r="I230" s="45">
        <f t="shared" si="64"/>
        <v>803.81538062163361</v>
      </c>
      <c r="J230" s="46">
        <f t="shared" si="65"/>
        <v>44100</v>
      </c>
      <c r="K230" s="2"/>
      <c r="L230" s="2">
        <f t="shared" si="59"/>
        <v>210</v>
      </c>
      <c r="M230" s="18">
        <f t="shared" si="60"/>
        <v>-82</v>
      </c>
      <c r="N230" s="20">
        <v>0</v>
      </c>
      <c r="O230" s="18" cm="1">
        <f t="array" ref="O230">SUMPRODUCT(M$20:M$275*COS(2*PI()*L230/L$19*L$20:L$275)+N$20:N$275*SIN(2*PI()*L230/L$19*L$20:L$275))</f>
        <v>541.92355632553665</v>
      </c>
      <c r="P230" s="20" cm="1">
        <f t="array" ref="P230">SUMPRODUCT(N$20:N$275*COS(2*PI()*L229/L$19*L$20:L$275)+M$20:M$275*SIN(2*PI()*L230/L$19*L$20:L$275))</f>
        <v>-736.79017756840153</v>
      </c>
    </row>
    <row r="231" spans="2:16" x14ac:dyDescent="0.35">
      <c r="B231" s="2">
        <f t="shared" si="55"/>
        <v>211</v>
      </c>
      <c r="C231" s="5" t="str">
        <f t="shared" si="61"/>
        <v/>
      </c>
      <c r="D231">
        <f t="shared" si="62"/>
        <v>-67</v>
      </c>
      <c r="E231" s="5" t="str">
        <f t="shared" si="63"/>
        <v/>
      </c>
      <c r="F231" s="15">
        <f t="shared" si="56"/>
        <v>4489</v>
      </c>
      <c r="G231" s="2">
        <f t="shared" si="57"/>
        <v>211</v>
      </c>
      <c r="H231" s="45">
        <f t="shared" si="58"/>
        <v>3.6522463410033232</v>
      </c>
      <c r="I231" s="45">
        <f t="shared" si="64"/>
        <v>770.62397795170125</v>
      </c>
      <c r="J231" s="46">
        <f t="shared" si="65"/>
        <v>44521</v>
      </c>
      <c r="K231" s="2"/>
      <c r="L231" s="2">
        <f t="shared" si="59"/>
        <v>211</v>
      </c>
      <c r="M231" s="18">
        <f t="shared" si="60"/>
        <v>-67</v>
      </c>
      <c r="N231" s="20">
        <v>0</v>
      </c>
      <c r="O231" s="18" cm="1">
        <f t="array" ref="O231">SUMPRODUCT(M$20:M$275*COS(2*PI()*L231/L$19*L$20:L$275)+N$20:N$275*SIN(2*PI()*L231/L$19*L$20:L$275))</f>
        <v>766.6625010274588</v>
      </c>
      <c r="P231" s="20" cm="1">
        <f t="array" ref="P231">SUMPRODUCT(N$20:N$275*COS(2*PI()*L230/L$19*L$20:L$275)+M$20:M$275*SIN(2*PI()*L231/L$19*L$20:L$275))</f>
        <v>-787.80911673890205</v>
      </c>
    </row>
    <row r="232" spans="2:16" x14ac:dyDescent="0.35">
      <c r="B232" s="2">
        <f t="shared" si="55"/>
        <v>212</v>
      </c>
      <c r="C232" s="5" t="str">
        <f t="shared" si="61"/>
        <v/>
      </c>
      <c r="D232">
        <f t="shared" si="62"/>
        <v>-56</v>
      </c>
      <c r="E232" s="5" t="str">
        <f t="shared" si="63"/>
        <v/>
      </c>
      <c r="F232" s="15">
        <f t="shared" si="56"/>
        <v>3136</v>
      </c>
      <c r="G232" s="2">
        <f t="shared" si="57"/>
        <v>212</v>
      </c>
      <c r="H232" s="45">
        <f t="shared" si="58"/>
        <v>3.4965145186977451</v>
      </c>
      <c r="I232" s="45">
        <f t="shared" si="64"/>
        <v>741.26107796392193</v>
      </c>
      <c r="J232" s="46">
        <f t="shared" si="65"/>
        <v>44944</v>
      </c>
      <c r="K232" s="2"/>
      <c r="L232" s="2">
        <f t="shared" si="59"/>
        <v>212</v>
      </c>
      <c r="M232" s="18">
        <f t="shared" si="60"/>
        <v>-56</v>
      </c>
      <c r="N232" s="20">
        <v>0</v>
      </c>
      <c r="O232" s="18" cm="1">
        <f t="array" ref="O232">SUMPRODUCT(M$20:M$275*COS(2*PI()*L232/L$19*L$20:L$275)+N$20:N$275*SIN(2*PI()*L232/L$19*L$20:L$275))</f>
        <v>-331.12729102134836</v>
      </c>
      <c r="P232" s="20" cm="1">
        <f t="array" ref="P232">SUMPRODUCT(N$20:N$275*COS(2*PI()*L231/L$19*L$20:L$275)+M$20:M$275*SIN(2*PI()*L232/L$19*L$20:L$275))</f>
        <v>-1177.8325601224199</v>
      </c>
    </row>
    <row r="233" spans="2:16" x14ac:dyDescent="0.35">
      <c r="B233" s="2">
        <f t="shared" si="55"/>
        <v>213</v>
      </c>
      <c r="C233" s="5" t="str">
        <f t="shared" si="61"/>
        <v/>
      </c>
      <c r="D233">
        <f t="shared" si="62"/>
        <v>-52</v>
      </c>
      <c r="E233" s="5" t="str">
        <f t="shared" si="63"/>
        <v/>
      </c>
      <c r="F233" s="15">
        <f t="shared" si="56"/>
        <v>2704</v>
      </c>
      <c r="G233" s="2">
        <f t="shared" si="57"/>
        <v>213</v>
      </c>
      <c r="H233" s="45">
        <f t="shared" si="58"/>
        <v>3.4321672694425884</v>
      </c>
      <c r="I233" s="45">
        <f t="shared" si="64"/>
        <v>731.05162839127138</v>
      </c>
      <c r="J233" s="46">
        <f t="shared" si="65"/>
        <v>45369</v>
      </c>
      <c r="K233" s="2"/>
      <c r="L233" s="2">
        <f t="shared" si="59"/>
        <v>213</v>
      </c>
      <c r="M233" s="18">
        <f t="shared" si="60"/>
        <v>-52</v>
      </c>
      <c r="N233" s="20">
        <v>0</v>
      </c>
      <c r="O233" s="18" cm="1">
        <f t="array" ref="O233">SUMPRODUCT(M$20:M$275*COS(2*PI()*L233/L$19*L$20:L$275)+N$20:N$275*SIN(2*PI()*L233/L$19*L$20:L$275))</f>
        <v>1095.4090009345882</v>
      </c>
      <c r="P233" s="20" cm="1">
        <f t="array" ref="P233">SUMPRODUCT(N$20:N$275*COS(2*PI()*L232/L$19*L$20:L$275)+M$20:M$275*SIN(2*PI()*L233/L$19*L$20:L$275))</f>
        <v>-317.22675746304532</v>
      </c>
    </row>
    <row r="234" spans="2:16" x14ac:dyDescent="0.35">
      <c r="B234" s="2">
        <f t="shared" si="55"/>
        <v>214</v>
      </c>
      <c r="C234" s="5" t="str">
        <f t="shared" si="61"/>
        <v/>
      </c>
      <c r="D234">
        <f t="shared" si="62"/>
        <v>-71</v>
      </c>
      <c r="E234" s="5" t="str">
        <f t="shared" si="63"/>
        <v/>
      </c>
      <c r="F234" s="15">
        <f t="shared" si="56"/>
        <v>5041</v>
      </c>
      <c r="G234" s="2">
        <f t="shared" si="57"/>
        <v>214</v>
      </c>
      <c r="H234" s="45">
        <f t="shared" si="58"/>
        <v>3.7026028413404273</v>
      </c>
      <c r="I234" s="45">
        <f t="shared" si="64"/>
        <v>792.35700804685143</v>
      </c>
      <c r="J234" s="46">
        <f t="shared" si="65"/>
        <v>45796</v>
      </c>
      <c r="K234" s="2"/>
      <c r="L234" s="2">
        <f t="shared" si="59"/>
        <v>214</v>
      </c>
      <c r="M234" s="18">
        <f t="shared" si="60"/>
        <v>-71</v>
      </c>
      <c r="N234" s="20">
        <v>0</v>
      </c>
      <c r="O234" s="18" cm="1">
        <f t="array" ref="O234">SUMPRODUCT(M$20:M$275*COS(2*PI()*L234/L$19*L$20:L$275)+N$20:N$275*SIN(2*PI()*L234/L$19*L$20:L$275))</f>
        <v>1866.2631222964546</v>
      </c>
      <c r="P234" s="20" cm="1">
        <f t="array" ref="P234">SUMPRODUCT(N$20:N$275*COS(2*PI()*L233/L$19*L$20:L$275)+M$20:M$275*SIN(2*PI()*L234/L$19*L$20:L$275))</f>
        <v>-499.68468918823714</v>
      </c>
    </row>
    <row r="235" spans="2:16" x14ac:dyDescent="0.35">
      <c r="B235" s="2">
        <f t="shared" si="55"/>
        <v>215</v>
      </c>
      <c r="C235" s="5">
        <f t="shared" si="61"/>
        <v>6.0139860139860142</v>
      </c>
      <c r="D235">
        <f t="shared" si="62"/>
        <v>-102</v>
      </c>
      <c r="E235" s="5" t="str">
        <f t="shared" si="63"/>
        <v/>
      </c>
      <c r="F235" s="15">
        <f t="shared" si="56"/>
        <v>10404</v>
      </c>
      <c r="G235" s="2">
        <f t="shared" si="57"/>
        <v>215</v>
      </c>
      <c r="H235" s="45">
        <f t="shared" si="58"/>
        <v>4.0172420845476458</v>
      </c>
      <c r="I235" s="45">
        <f t="shared" si="64"/>
        <v>863.70704817774379</v>
      </c>
      <c r="J235" s="46">
        <f t="shared" si="65"/>
        <v>46225</v>
      </c>
      <c r="K235" s="2"/>
      <c r="L235" s="2">
        <f t="shared" si="59"/>
        <v>215</v>
      </c>
      <c r="M235" s="18">
        <f t="shared" si="60"/>
        <v>-102</v>
      </c>
      <c r="N235" s="20">
        <v>0</v>
      </c>
      <c r="O235" s="18" cm="1">
        <f t="array" ref="O235">SUMPRODUCT(M$20:M$275*COS(2*PI()*L235/L$19*L$20:L$275)+N$20:N$275*SIN(2*PI()*L235/L$19*L$20:L$275))</f>
        <v>1843.4796629764405</v>
      </c>
      <c r="P235" s="20" cm="1">
        <f t="array" ref="P235">SUMPRODUCT(N$20:N$275*COS(2*PI()*L234/L$19*L$20:L$275)+M$20:M$275*SIN(2*PI()*L235/L$19*L$20:L$275))</f>
        <v>-107.93815274787285</v>
      </c>
    </row>
    <row r="236" spans="2:16" x14ac:dyDescent="0.35">
      <c r="B236" s="2">
        <f t="shared" si="55"/>
        <v>216</v>
      </c>
      <c r="C236" s="5" t="str">
        <f t="shared" si="61"/>
        <v/>
      </c>
      <c r="D236">
        <f t="shared" si="62"/>
        <v>-92</v>
      </c>
      <c r="E236" s="5" t="str">
        <f t="shared" si="63"/>
        <v/>
      </c>
      <c r="F236" s="15">
        <f t="shared" si="56"/>
        <v>8464</v>
      </c>
      <c r="G236" s="2">
        <f t="shared" si="57"/>
        <v>216</v>
      </c>
      <c r="H236" s="45">
        <f t="shared" si="58"/>
        <v>3.927626962444954</v>
      </c>
      <c r="I236" s="45">
        <f t="shared" si="64"/>
        <v>848.36742388811012</v>
      </c>
      <c r="J236" s="46">
        <f t="shared" si="65"/>
        <v>46656</v>
      </c>
      <c r="K236" s="2"/>
      <c r="L236" s="2">
        <f t="shared" si="59"/>
        <v>216</v>
      </c>
      <c r="M236" s="18">
        <f t="shared" si="60"/>
        <v>-92</v>
      </c>
      <c r="N236" s="20">
        <v>0</v>
      </c>
      <c r="O236" s="18" cm="1">
        <f t="array" ref="O236">SUMPRODUCT(M$20:M$275*COS(2*PI()*L236/L$19*L$20:L$275)+N$20:N$275*SIN(2*PI()*L236/L$19*L$20:L$275))</f>
        <v>2130.2805006962531</v>
      </c>
      <c r="P236" s="20" cm="1">
        <f t="array" ref="P236">SUMPRODUCT(N$20:N$275*COS(2*PI()*L235/L$19*L$20:L$275)+M$20:M$275*SIN(2*PI()*L236/L$19*L$20:L$275))</f>
        <v>-241.2250455230386</v>
      </c>
    </row>
    <row r="237" spans="2:16" x14ac:dyDescent="0.35">
      <c r="B237" s="2">
        <f t="shared" si="55"/>
        <v>217</v>
      </c>
      <c r="C237" s="5" t="str">
        <f t="shared" si="61"/>
        <v/>
      </c>
      <c r="D237">
        <f t="shared" si="62"/>
        <v>-44</v>
      </c>
      <c r="E237" s="5" t="str">
        <f t="shared" si="63"/>
        <v/>
      </c>
      <c r="F237" s="15">
        <f t="shared" si="56"/>
        <v>1936</v>
      </c>
      <c r="G237" s="2">
        <f t="shared" si="57"/>
        <v>217</v>
      </c>
      <c r="H237" s="45">
        <f t="shared" si="58"/>
        <v>3.287129620719111</v>
      </c>
      <c r="I237" s="45">
        <f t="shared" si="64"/>
        <v>713.30712769604713</v>
      </c>
      <c r="J237" s="46">
        <f t="shared" si="65"/>
        <v>47089</v>
      </c>
      <c r="K237" s="2"/>
      <c r="L237" s="2">
        <f t="shared" si="59"/>
        <v>217</v>
      </c>
      <c r="M237" s="18">
        <f t="shared" si="60"/>
        <v>-44</v>
      </c>
      <c r="N237" s="20">
        <v>0</v>
      </c>
      <c r="O237" s="18" cm="1">
        <f t="array" ref="O237">SUMPRODUCT(M$20:M$275*COS(2*PI()*L237/L$19*L$20:L$275)+N$20:N$275*SIN(2*PI()*L237/L$19*L$20:L$275))</f>
        <v>1405.4456601920833</v>
      </c>
      <c r="P237" s="20" cm="1">
        <f t="array" ref="P237">SUMPRODUCT(N$20:N$275*COS(2*PI()*L236/L$19*L$20:L$275)+M$20:M$275*SIN(2*PI()*L237/L$19*L$20:L$275))</f>
        <v>433.42122710288572</v>
      </c>
    </row>
    <row r="238" spans="2:16" x14ac:dyDescent="0.35">
      <c r="B238" s="2">
        <f t="shared" si="55"/>
        <v>218</v>
      </c>
      <c r="C238" s="5" t="str">
        <f t="shared" si="61"/>
        <v/>
      </c>
      <c r="D238">
        <f t="shared" si="62"/>
        <v>-3</v>
      </c>
      <c r="E238" s="5" t="str">
        <f t="shared" si="63"/>
        <v/>
      </c>
      <c r="F238" s="15">
        <f t="shared" si="56"/>
        <v>9</v>
      </c>
      <c r="G238" s="2">
        <f t="shared" si="57"/>
        <v>218</v>
      </c>
      <c r="H238" s="45">
        <f t="shared" si="58"/>
        <v>1</v>
      </c>
      <c r="I238" s="45">
        <f t="shared" si="64"/>
        <v>218</v>
      </c>
      <c r="J238" s="46">
        <f t="shared" si="65"/>
        <v>47524</v>
      </c>
      <c r="K238" s="2"/>
      <c r="L238" s="2">
        <f t="shared" si="59"/>
        <v>218</v>
      </c>
      <c r="M238" s="18">
        <f t="shared" si="60"/>
        <v>-3</v>
      </c>
      <c r="N238" s="20">
        <v>0</v>
      </c>
      <c r="O238" s="18" cm="1">
        <f t="array" ref="O238">SUMPRODUCT(M$20:M$275*COS(2*PI()*L238/L$19*L$20:L$275)+N$20:N$275*SIN(2*PI()*L238/L$19*L$20:L$275))</f>
        <v>1056.4049443250435</v>
      </c>
      <c r="P238" s="20" cm="1">
        <f t="array" ref="P238">SUMPRODUCT(N$20:N$275*COS(2*PI()*L237/L$19*L$20:L$275)+M$20:M$275*SIN(2*PI()*L238/L$19*L$20:L$275))</f>
        <v>-328.5042810243911</v>
      </c>
    </row>
    <row r="239" spans="2:16" x14ac:dyDescent="0.35">
      <c r="B239" s="2">
        <f t="shared" si="55"/>
        <v>219</v>
      </c>
      <c r="C239" s="5" t="str">
        <f t="shared" si="61"/>
        <v/>
      </c>
      <c r="D239">
        <f t="shared" si="62"/>
        <v>-8</v>
      </c>
      <c r="E239" s="5" t="str">
        <f t="shared" si="63"/>
        <v/>
      </c>
      <c r="F239" s="15">
        <f t="shared" si="56"/>
        <v>64</v>
      </c>
      <c r="G239" s="2">
        <f t="shared" si="57"/>
        <v>219</v>
      </c>
      <c r="H239" s="45">
        <f t="shared" si="58"/>
        <v>1.8129133566428555</v>
      </c>
      <c r="I239" s="45">
        <f t="shared" si="64"/>
        <v>397.02802510478534</v>
      </c>
      <c r="J239" s="46">
        <f t="shared" si="65"/>
        <v>47961</v>
      </c>
      <c r="K239" s="2"/>
      <c r="L239" s="2">
        <f t="shared" si="59"/>
        <v>219</v>
      </c>
      <c r="M239" s="18">
        <f t="shared" si="60"/>
        <v>-8</v>
      </c>
      <c r="N239" s="20">
        <v>0</v>
      </c>
      <c r="O239" s="18" cm="1">
        <f t="array" ref="O239">SUMPRODUCT(M$20:M$275*COS(2*PI()*L239/L$19*L$20:L$275)+N$20:N$275*SIN(2*PI()*L239/L$19*L$20:L$275))</f>
        <v>1098.0738510532001</v>
      </c>
      <c r="P239" s="20" cm="1">
        <f t="array" ref="P239">SUMPRODUCT(N$20:N$275*COS(2*PI()*L238/L$19*L$20:L$275)+M$20:M$275*SIN(2*PI()*L239/L$19*L$20:L$275))</f>
        <v>-519.21905003857785</v>
      </c>
    </row>
    <row r="240" spans="2:16" x14ac:dyDescent="0.35">
      <c r="B240" s="2">
        <f t="shared" si="55"/>
        <v>220</v>
      </c>
      <c r="C240" s="5" t="str">
        <f t="shared" si="61"/>
        <v/>
      </c>
      <c r="D240">
        <f t="shared" si="62"/>
        <v>-48</v>
      </c>
      <c r="E240" s="5" t="str">
        <f t="shared" si="63"/>
        <v/>
      </c>
      <c r="F240" s="15">
        <f t="shared" si="56"/>
        <v>2304</v>
      </c>
      <c r="G240" s="2">
        <f t="shared" si="57"/>
        <v>220</v>
      </c>
      <c r="H240" s="45">
        <f t="shared" si="58"/>
        <v>3.3626709297256672</v>
      </c>
      <c r="I240" s="45">
        <f t="shared" si="64"/>
        <v>739.78760453964674</v>
      </c>
      <c r="J240" s="46">
        <f t="shared" si="65"/>
        <v>48400</v>
      </c>
      <c r="K240" s="2"/>
      <c r="L240" s="2">
        <f t="shared" si="59"/>
        <v>220</v>
      </c>
      <c r="M240" s="18">
        <f t="shared" si="60"/>
        <v>-48</v>
      </c>
      <c r="N240" s="20">
        <v>0</v>
      </c>
      <c r="O240" s="18" cm="1">
        <f t="array" ref="O240">SUMPRODUCT(M$20:M$275*COS(2*PI()*L240/L$19*L$20:L$275)+N$20:N$275*SIN(2*PI()*L240/L$19*L$20:L$275))</f>
        <v>2340.357199160117</v>
      </c>
      <c r="P240" s="20" cm="1">
        <f t="array" ref="P240">SUMPRODUCT(N$20:N$275*COS(2*PI()*L239/L$19*L$20:L$275)+M$20:M$275*SIN(2*PI()*L240/L$19*L$20:L$275))</f>
        <v>841.84737034900388</v>
      </c>
    </row>
    <row r="241" spans="2:16" x14ac:dyDescent="0.35">
      <c r="B241" s="2">
        <f t="shared" si="55"/>
        <v>221</v>
      </c>
      <c r="C241" s="5" t="str">
        <f t="shared" si="61"/>
        <v/>
      </c>
      <c r="D241">
        <f t="shared" si="62"/>
        <v>-70</v>
      </c>
      <c r="E241" s="5" t="str">
        <f t="shared" si="63"/>
        <v/>
      </c>
      <c r="F241" s="15">
        <f t="shared" si="56"/>
        <v>4900</v>
      </c>
      <c r="G241" s="2">
        <f t="shared" si="57"/>
        <v>221</v>
      </c>
      <c r="H241" s="45">
        <f t="shared" si="58"/>
        <v>3.6902847025126295</v>
      </c>
      <c r="I241" s="45">
        <f t="shared" si="64"/>
        <v>815.55291925529116</v>
      </c>
      <c r="J241" s="46">
        <f t="shared" si="65"/>
        <v>48841</v>
      </c>
      <c r="K241" s="2"/>
      <c r="L241" s="2">
        <f t="shared" si="59"/>
        <v>221</v>
      </c>
      <c r="M241" s="18">
        <f t="shared" si="60"/>
        <v>-70</v>
      </c>
      <c r="N241" s="20">
        <v>0</v>
      </c>
      <c r="O241" s="18" cm="1">
        <f t="array" ref="O241">SUMPRODUCT(M$20:M$275*COS(2*PI()*L241/L$19*L$20:L$275)+N$20:N$275*SIN(2*PI()*L241/L$19*L$20:L$275))</f>
        <v>744.0744519284151</v>
      </c>
      <c r="P241" s="20" cm="1">
        <f t="array" ref="P241">SUMPRODUCT(N$20:N$275*COS(2*PI()*L240/L$19*L$20:L$275)+M$20:M$275*SIN(2*PI()*L241/L$19*L$20:L$275))</f>
        <v>824.82312402242883</v>
      </c>
    </row>
    <row r="242" spans="2:16" x14ac:dyDescent="0.35">
      <c r="B242" s="2">
        <f t="shared" si="55"/>
        <v>222</v>
      </c>
      <c r="C242" s="5" t="str">
        <f t="shared" si="61"/>
        <v/>
      </c>
      <c r="D242">
        <f t="shared" si="62"/>
        <v>-34</v>
      </c>
      <c r="E242" s="5" t="str">
        <f t="shared" si="63"/>
        <v/>
      </c>
      <c r="F242" s="15">
        <f t="shared" si="56"/>
        <v>1156</v>
      </c>
      <c r="G242" s="2">
        <f t="shared" si="57"/>
        <v>222</v>
      </c>
      <c r="H242" s="45">
        <f t="shared" si="58"/>
        <v>3.0633333589517497</v>
      </c>
      <c r="I242" s="45">
        <f t="shared" si="64"/>
        <v>680.06000568728848</v>
      </c>
      <c r="J242" s="46">
        <f t="shared" si="65"/>
        <v>49284</v>
      </c>
      <c r="K242" s="2"/>
      <c r="L242" s="2">
        <f t="shared" si="59"/>
        <v>222</v>
      </c>
      <c r="M242" s="18">
        <f t="shared" si="60"/>
        <v>-34</v>
      </c>
      <c r="N242" s="20">
        <v>0</v>
      </c>
      <c r="O242" s="18" cm="1">
        <f t="array" ref="O242">SUMPRODUCT(M$20:M$275*COS(2*PI()*L242/L$19*L$20:L$275)+N$20:N$275*SIN(2*PI()*L242/L$19*L$20:L$275))</f>
        <v>1855.0656183809172</v>
      </c>
      <c r="P242" s="20" cm="1">
        <f t="array" ref="P242">SUMPRODUCT(N$20:N$275*COS(2*PI()*L241/L$19*L$20:L$275)+M$20:M$275*SIN(2*PI()*L242/L$19*L$20:L$275))</f>
        <v>377.61185231920018</v>
      </c>
    </row>
    <row r="243" spans="2:16" x14ac:dyDescent="0.35">
      <c r="B243" s="2">
        <f t="shared" si="55"/>
        <v>223</v>
      </c>
      <c r="C243" s="5" t="str">
        <f t="shared" si="61"/>
        <v/>
      </c>
      <c r="D243">
        <f t="shared" si="62"/>
        <v>28</v>
      </c>
      <c r="E243" s="5">
        <f t="shared" si="63"/>
        <v>1</v>
      </c>
      <c r="F243" s="15">
        <f t="shared" si="56"/>
        <v>784</v>
      </c>
      <c r="G243" s="2">
        <f t="shared" si="57"/>
        <v>223</v>
      </c>
      <c r="H243" s="45">
        <f t="shared" si="58"/>
        <v>2.8948696567452528</v>
      </c>
      <c r="I243" s="45">
        <f t="shared" si="64"/>
        <v>645.5559334541914</v>
      </c>
      <c r="J243" s="46">
        <f t="shared" si="65"/>
        <v>49729</v>
      </c>
      <c r="K243" s="2"/>
      <c r="L243" s="2">
        <f t="shared" si="59"/>
        <v>223</v>
      </c>
      <c r="M243" s="18">
        <f t="shared" si="60"/>
        <v>28</v>
      </c>
      <c r="N243" s="20">
        <v>0</v>
      </c>
      <c r="O243" s="18" cm="1">
        <f t="array" ref="O243">SUMPRODUCT(M$20:M$275*COS(2*PI()*L243/L$19*L$20:L$275)+N$20:N$275*SIN(2*PI()*L243/L$19*L$20:L$275))</f>
        <v>-363.69908379345156</v>
      </c>
      <c r="P243" s="20" cm="1">
        <f t="array" ref="P243">SUMPRODUCT(N$20:N$275*COS(2*PI()*L242/L$19*L$20:L$275)+M$20:M$275*SIN(2*PI()*L243/L$19*L$20:L$275))</f>
        <v>983.95781979233959</v>
      </c>
    </row>
    <row r="244" spans="2:16" x14ac:dyDescent="0.35">
      <c r="B244" s="2">
        <f t="shared" si="55"/>
        <v>224</v>
      </c>
      <c r="C244" s="5" t="str">
        <f t="shared" si="61"/>
        <v/>
      </c>
      <c r="D244">
        <f t="shared" si="62"/>
        <v>64</v>
      </c>
      <c r="E244" s="5" t="str">
        <f t="shared" si="63"/>
        <v/>
      </c>
      <c r="F244" s="15">
        <f t="shared" si="56"/>
        <v>4096</v>
      </c>
      <c r="G244" s="2">
        <f t="shared" si="57"/>
        <v>224</v>
      </c>
      <c r="H244" s="45">
        <f t="shared" si="58"/>
        <v>3.6124659639531425</v>
      </c>
      <c r="I244" s="45">
        <f t="shared" si="64"/>
        <v>809.19237592550394</v>
      </c>
      <c r="J244" s="46">
        <f t="shared" si="65"/>
        <v>50176</v>
      </c>
      <c r="K244" s="2"/>
      <c r="L244" s="2">
        <f t="shared" si="59"/>
        <v>224</v>
      </c>
      <c r="M244" s="18">
        <f t="shared" si="60"/>
        <v>64</v>
      </c>
      <c r="N244" s="20">
        <v>0</v>
      </c>
      <c r="O244" s="18" cm="1">
        <f t="array" ref="O244">SUMPRODUCT(M$20:M$275*COS(2*PI()*L244/L$19*L$20:L$275)+N$20:N$275*SIN(2*PI()*L244/L$19*L$20:L$275))</f>
        <v>1858.3149339882088</v>
      </c>
      <c r="P244" s="20" cm="1">
        <f t="array" ref="P244">SUMPRODUCT(N$20:N$275*COS(2*PI()*L243/L$19*L$20:L$275)+M$20:M$275*SIN(2*PI()*L244/L$19*L$20:L$275))</f>
        <v>1367.8397538817817</v>
      </c>
    </row>
    <row r="245" spans="2:16" x14ac:dyDescent="0.35">
      <c r="B245" s="2">
        <f t="shared" si="55"/>
        <v>225</v>
      </c>
      <c r="C245" s="5" t="str">
        <f t="shared" si="61"/>
        <v/>
      </c>
      <c r="D245">
        <f t="shared" si="62"/>
        <v>71</v>
      </c>
      <c r="E245" s="5" t="str">
        <f t="shared" si="63"/>
        <v/>
      </c>
      <c r="F245" s="15">
        <f t="shared" si="56"/>
        <v>5041</v>
      </c>
      <c r="G245" s="2">
        <f t="shared" si="57"/>
        <v>225</v>
      </c>
      <c r="H245" s="45">
        <f t="shared" si="58"/>
        <v>3.7026028413404273</v>
      </c>
      <c r="I245" s="45">
        <f t="shared" si="64"/>
        <v>833.08563930159619</v>
      </c>
      <c r="J245" s="46">
        <f t="shared" si="65"/>
        <v>50625</v>
      </c>
      <c r="K245" s="2"/>
      <c r="L245" s="2">
        <f t="shared" si="59"/>
        <v>225</v>
      </c>
      <c r="M245" s="18">
        <f t="shared" si="60"/>
        <v>71</v>
      </c>
      <c r="N245" s="20">
        <v>0</v>
      </c>
      <c r="O245" s="18" cm="1">
        <f t="array" ref="O245">SUMPRODUCT(M$20:M$275*COS(2*PI()*L245/L$19*L$20:L$275)+N$20:N$275*SIN(2*PI()*L245/L$19*L$20:L$275))</f>
        <v>-2777.4163740286999</v>
      </c>
      <c r="P245" s="20" cm="1">
        <f t="array" ref="P245">SUMPRODUCT(N$20:N$275*COS(2*PI()*L244/L$19*L$20:L$275)+M$20:M$275*SIN(2*PI()*L245/L$19*L$20:L$275))</f>
        <v>3038.753020818408</v>
      </c>
    </row>
    <row r="246" spans="2:16" x14ac:dyDescent="0.35">
      <c r="B246" s="2">
        <f t="shared" si="55"/>
        <v>226</v>
      </c>
      <c r="C246" s="5" t="str">
        <f t="shared" si="61"/>
        <v/>
      </c>
      <c r="D246">
        <f t="shared" si="62"/>
        <v>71</v>
      </c>
      <c r="E246" s="5" t="str">
        <f t="shared" si="63"/>
        <v/>
      </c>
      <c r="F246" s="15">
        <f t="shared" si="56"/>
        <v>5041</v>
      </c>
      <c r="G246" s="2">
        <f t="shared" si="57"/>
        <v>226</v>
      </c>
      <c r="H246" s="45">
        <f t="shared" si="58"/>
        <v>3.7026028413404273</v>
      </c>
      <c r="I246" s="45">
        <f t="shared" si="64"/>
        <v>836.78824214293661</v>
      </c>
      <c r="J246" s="46">
        <f t="shared" si="65"/>
        <v>51076</v>
      </c>
      <c r="K246" s="2"/>
      <c r="L246" s="2">
        <f t="shared" si="59"/>
        <v>226</v>
      </c>
      <c r="M246" s="18">
        <f t="shared" si="60"/>
        <v>71</v>
      </c>
      <c r="N246" s="20">
        <v>0</v>
      </c>
      <c r="O246" s="18" cm="1">
        <f t="array" ref="O246">SUMPRODUCT(M$20:M$275*COS(2*PI()*L246/L$19*L$20:L$275)+N$20:N$275*SIN(2*PI()*L246/L$19*L$20:L$275))</f>
        <v>-2735.881999531558</v>
      </c>
      <c r="P246" s="20" cm="1">
        <f t="array" ref="P246">SUMPRODUCT(N$20:N$275*COS(2*PI()*L245/L$19*L$20:L$275)+M$20:M$275*SIN(2*PI()*L246/L$19*L$20:L$275))</f>
        <v>-258.16315116405923</v>
      </c>
    </row>
    <row r="247" spans="2:16" x14ac:dyDescent="0.35">
      <c r="B247" s="2">
        <f t="shared" si="55"/>
        <v>227</v>
      </c>
      <c r="C247" s="5" t="str">
        <f t="shared" si="61"/>
        <v/>
      </c>
      <c r="D247">
        <f t="shared" si="62"/>
        <v>85</v>
      </c>
      <c r="E247" s="5" t="str">
        <f t="shared" si="63"/>
        <v/>
      </c>
      <c r="F247" s="15">
        <f t="shared" si="56"/>
        <v>7225</v>
      </c>
      <c r="G247" s="2">
        <f t="shared" si="57"/>
        <v>227</v>
      </c>
      <c r="H247" s="45">
        <f t="shared" si="58"/>
        <v>3.8588979572320032</v>
      </c>
      <c r="I247" s="45">
        <f t="shared" si="64"/>
        <v>875.96983629166471</v>
      </c>
      <c r="J247" s="46">
        <f t="shared" si="65"/>
        <v>51529</v>
      </c>
      <c r="K247" s="2"/>
      <c r="L247" s="2">
        <f t="shared" si="59"/>
        <v>227</v>
      </c>
      <c r="M247" s="18">
        <f t="shared" si="60"/>
        <v>85</v>
      </c>
      <c r="N247" s="20">
        <v>0</v>
      </c>
      <c r="O247" s="18" cm="1">
        <f t="array" ref="O247">SUMPRODUCT(M$20:M$275*COS(2*PI()*L247/L$19*L$20:L$275)+N$20:N$275*SIN(2*PI()*L247/L$19*L$20:L$275))</f>
        <v>-314.11925237777007</v>
      </c>
      <c r="P247" s="20" cm="1">
        <f t="array" ref="P247">SUMPRODUCT(N$20:N$275*COS(2*PI()*L246/L$19*L$20:L$275)+M$20:M$275*SIN(2*PI()*L247/L$19*L$20:L$275))</f>
        <v>-5.0689951663944246</v>
      </c>
    </row>
    <row r="248" spans="2:16" x14ac:dyDescent="0.35">
      <c r="B248" s="2">
        <f t="shared" si="55"/>
        <v>228</v>
      </c>
      <c r="C248" s="5" t="str">
        <f t="shared" si="61"/>
        <v/>
      </c>
      <c r="D248">
        <f t="shared" si="62"/>
        <v>97</v>
      </c>
      <c r="E248" s="5" t="str">
        <f t="shared" si="63"/>
        <v/>
      </c>
      <c r="F248" s="15">
        <f t="shared" si="56"/>
        <v>9409</v>
      </c>
      <c r="G248" s="2">
        <f t="shared" si="57"/>
        <v>228</v>
      </c>
      <c r="H248" s="45">
        <f t="shared" si="58"/>
        <v>3.973589623427257</v>
      </c>
      <c r="I248" s="45">
        <f t="shared" si="64"/>
        <v>905.9784341414146</v>
      </c>
      <c r="J248" s="46">
        <f t="shared" si="65"/>
        <v>51984</v>
      </c>
      <c r="K248" s="2"/>
      <c r="L248" s="2">
        <f t="shared" si="59"/>
        <v>228</v>
      </c>
      <c r="M248" s="18">
        <f t="shared" si="60"/>
        <v>97</v>
      </c>
      <c r="N248" s="20">
        <v>0</v>
      </c>
      <c r="O248" s="18" cm="1">
        <f t="array" ref="O248">SUMPRODUCT(M$20:M$275*COS(2*PI()*L248/L$19*L$20:L$275)+N$20:N$275*SIN(2*PI()*L248/L$19*L$20:L$275))</f>
        <v>79.150900038981163</v>
      </c>
      <c r="P248" s="20" cm="1">
        <f t="array" ref="P248">SUMPRODUCT(N$20:N$275*COS(2*PI()*L247/L$19*L$20:L$275)+M$20:M$275*SIN(2*PI()*L248/L$19*L$20:L$275))</f>
        <v>-1431.2383268800736</v>
      </c>
    </row>
    <row r="249" spans="2:16" x14ac:dyDescent="0.35">
      <c r="B249" s="2">
        <f t="shared" si="55"/>
        <v>229</v>
      </c>
      <c r="C249" s="5" t="str">
        <f t="shared" si="61"/>
        <v/>
      </c>
      <c r="D249">
        <f t="shared" si="62"/>
        <v>82</v>
      </c>
      <c r="E249" s="5" t="str">
        <f t="shared" si="63"/>
        <v/>
      </c>
      <c r="F249" s="15">
        <f t="shared" si="56"/>
        <v>6724</v>
      </c>
      <c r="G249" s="2">
        <f t="shared" si="57"/>
        <v>229</v>
      </c>
      <c r="H249" s="45">
        <f t="shared" si="58"/>
        <v>3.8276922886744456</v>
      </c>
      <c r="I249" s="45">
        <f t="shared" si="64"/>
        <v>876.54153410644801</v>
      </c>
      <c r="J249" s="46">
        <f t="shared" si="65"/>
        <v>52441</v>
      </c>
      <c r="K249" s="2"/>
      <c r="L249" s="2">
        <f t="shared" si="59"/>
        <v>229</v>
      </c>
      <c r="M249" s="18">
        <f t="shared" si="60"/>
        <v>82</v>
      </c>
      <c r="N249" s="20">
        <v>0</v>
      </c>
      <c r="O249" s="18" cm="1">
        <f t="array" ref="O249">SUMPRODUCT(M$20:M$275*COS(2*PI()*L249/L$19*L$20:L$275)+N$20:N$275*SIN(2*PI()*L249/L$19*L$20:L$275))</f>
        <v>1110.7546261677492</v>
      </c>
      <c r="P249" s="20" cm="1">
        <f t="array" ref="P249">SUMPRODUCT(N$20:N$275*COS(2*PI()*L248/L$19*L$20:L$275)+M$20:M$275*SIN(2*PI()*L249/L$19*L$20:L$275))</f>
        <v>-1024.8938926579931</v>
      </c>
    </row>
    <row r="250" spans="2:16" x14ac:dyDescent="0.35">
      <c r="B250" s="2">
        <f t="shared" si="55"/>
        <v>230</v>
      </c>
      <c r="C250" s="5" t="str">
        <f t="shared" si="61"/>
        <v/>
      </c>
      <c r="D250">
        <f t="shared" si="62"/>
        <v>56</v>
      </c>
      <c r="E250" s="5" t="str">
        <f t="shared" si="63"/>
        <v/>
      </c>
      <c r="F250" s="15">
        <f t="shared" si="56"/>
        <v>3136</v>
      </c>
      <c r="G250" s="2">
        <f t="shared" si="57"/>
        <v>230</v>
      </c>
      <c r="H250" s="45">
        <f t="shared" si="58"/>
        <v>3.4965145186977451</v>
      </c>
      <c r="I250" s="45">
        <f t="shared" si="64"/>
        <v>804.19833930048139</v>
      </c>
      <c r="J250" s="46">
        <f t="shared" si="65"/>
        <v>52900</v>
      </c>
      <c r="K250" s="2"/>
      <c r="L250" s="2">
        <f t="shared" si="59"/>
        <v>230</v>
      </c>
      <c r="M250" s="18">
        <f t="shared" si="60"/>
        <v>56</v>
      </c>
      <c r="N250" s="20">
        <v>0</v>
      </c>
      <c r="O250" s="18" cm="1">
        <f t="array" ref="O250">SUMPRODUCT(M$20:M$275*COS(2*PI()*L250/L$19*L$20:L$275)+N$20:N$275*SIN(2*PI()*L250/L$19*L$20:L$275))</f>
        <v>2544.8054564497347</v>
      </c>
      <c r="P250" s="20" cm="1">
        <f t="array" ref="P250">SUMPRODUCT(N$20:N$275*COS(2*PI()*L249/L$19*L$20:L$275)+M$20:M$275*SIN(2*PI()*L250/L$19*L$20:L$275))</f>
        <v>1659.7325170339711</v>
      </c>
    </row>
    <row r="251" spans="2:16" x14ac:dyDescent="0.35">
      <c r="B251" s="2">
        <f t="shared" si="55"/>
        <v>231</v>
      </c>
      <c r="C251" s="5" t="str">
        <f t="shared" si="61"/>
        <v/>
      </c>
      <c r="D251">
        <f t="shared" si="62"/>
        <v>34</v>
      </c>
      <c r="E251" s="5" t="str">
        <f t="shared" si="63"/>
        <v/>
      </c>
      <c r="F251" s="15">
        <f t="shared" si="56"/>
        <v>1156</v>
      </c>
      <c r="G251" s="2">
        <f t="shared" si="57"/>
        <v>231</v>
      </c>
      <c r="H251" s="45">
        <f t="shared" si="58"/>
        <v>3.0633333589517497</v>
      </c>
      <c r="I251" s="45">
        <f t="shared" si="64"/>
        <v>707.63000591785419</v>
      </c>
      <c r="J251" s="46">
        <f t="shared" si="65"/>
        <v>53361</v>
      </c>
      <c r="K251" s="2"/>
      <c r="L251" s="2">
        <f t="shared" si="59"/>
        <v>231</v>
      </c>
      <c r="M251" s="18">
        <f t="shared" si="60"/>
        <v>34</v>
      </c>
      <c r="N251" s="20">
        <v>0</v>
      </c>
      <c r="O251" s="18" cm="1">
        <f t="array" ref="O251">SUMPRODUCT(M$20:M$275*COS(2*PI()*L251/L$19*L$20:L$275)+N$20:N$275*SIN(2*PI()*L251/L$19*L$20:L$275))</f>
        <v>-23.704928490072106</v>
      </c>
      <c r="P251" s="20" cm="1">
        <f t="array" ref="P251">SUMPRODUCT(N$20:N$275*COS(2*PI()*L250/L$19*L$20:L$275)+M$20:M$275*SIN(2*PI()*L251/L$19*L$20:L$275))</f>
        <v>948.46228078199397</v>
      </c>
    </row>
    <row r="252" spans="2:16" x14ac:dyDescent="0.35">
      <c r="B252" s="2">
        <f t="shared" si="55"/>
        <v>232</v>
      </c>
      <c r="C252" s="5" t="str">
        <f t="shared" si="61"/>
        <v/>
      </c>
      <c r="D252">
        <f t="shared" si="62"/>
        <v>32</v>
      </c>
      <c r="E252" s="5" t="str">
        <f t="shared" si="63"/>
        <v/>
      </c>
      <c r="F252" s="15">
        <f t="shared" si="56"/>
        <v>1024</v>
      </c>
      <c r="G252" s="2">
        <f t="shared" si="57"/>
        <v>232</v>
      </c>
      <c r="H252" s="45">
        <f t="shared" si="58"/>
        <v>3.0107238653917729</v>
      </c>
      <c r="I252" s="45">
        <f t="shared" si="64"/>
        <v>698.48793677089134</v>
      </c>
      <c r="J252" s="46">
        <f t="shared" si="65"/>
        <v>53824</v>
      </c>
      <c r="K252" s="2"/>
      <c r="L252" s="2">
        <f t="shared" si="59"/>
        <v>232</v>
      </c>
      <c r="M252" s="18">
        <f t="shared" si="60"/>
        <v>32</v>
      </c>
      <c r="N252" s="20">
        <v>0</v>
      </c>
      <c r="O252" s="18" cm="1">
        <f t="array" ref="O252">SUMPRODUCT(M$20:M$275*COS(2*PI()*L252/L$19*L$20:L$275)+N$20:N$275*SIN(2*PI()*L252/L$19*L$20:L$275))</f>
        <v>803.7764805106699</v>
      </c>
      <c r="P252" s="20" cm="1">
        <f t="array" ref="P252">SUMPRODUCT(N$20:N$275*COS(2*PI()*L251/L$19*L$20:L$275)+M$20:M$275*SIN(2*PI()*L252/L$19*L$20:L$275))</f>
        <v>320.54095598465977</v>
      </c>
    </row>
    <row r="253" spans="2:16" x14ac:dyDescent="0.35">
      <c r="B253" s="2">
        <f t="shared" si="55"/>
        <v>233</v>
      </c>
      <c r="C253" s="5" t="str">
        <f t="shared" si="61"/>
        <v/>
      </c>
      <c r="D253">
        <f t="shared" si="62"/>
        <v>42</v>
      </c>
      <c r="E253" s="5" t="str">
        <f t="shared" si="63"/>
        <v/>
      </c>
      <c r="F253" s="15">
        <f t="shared" si="56"/>
        <v>1764</v>
      </c>
      <c r="G253" s="2">
        <f t="shared" si="57"/>
        <v>233</v>
      </c>
      <c r="H253" s="45">
        <f t="shared" si="58"/>
        <v>3.2467447097238415</v>
      </c>
      <c r="I253" s="45">
        <f t="shared" si="64"/>
        <v>756.49151736565511</v>
      </c>
      <c r="J253" s="46">
        <f t="shared" si="65"/>
        <v>54289</v>
      </c>
      <c r="K253" s="2"/>
      <c r="L253" s="2">
        <f t="shared" si="59"/>
        <v>233</v>
      </c>
      <c r="M253" s="18">
        <f t="shared" si="60"/>
        <v>42</v>
      </c>
      <c r="N253" s="20">
        <v>0</v>
      </c>
      <c r="O253" s="18" cm="1">
        <f t="array" ref="O253">SUMPRODUCT(M$20:M$275*COS(2*PI()*L253/L$19*L$20:L$275)+N$20:N$275*SIN(2*PI()*L253/L$19*L$20:L$275))</f>
        <v>751.60068683318093</v>
      </c>
      <c r="P253" s="20" cm="1">
        <f t="array" ref="P253">SUMPRODUCT(N$20:N$275*COS(2*PI()*L252/L$19*L$20:L$275)+M$20:M$275*SIN(2*PI()*L253/L$19*L$20:L$275))</f>
        <v>-1650.128407152285</v>
      </c>
    </row>
    <row r="254" spans="2:16" x14ac:dyDescent="0.35">
      <c r="B254" s="2">
        <f t="shared" si="55"/>
        <v>234</v>
      </c>
      <c r="C254" s="5" t="str">
        <f t="shared" si="61"/>
        <v/>
      </c>
      <c r="D254">
        <f t="shared" si="62"/>
        <v>69</v>
      </c>
      <c r="E254" s="5" t="str">
        <f t="shared" si="63"/>
        <v/>
      </c>
      <c r="F254" s="15">
        <f t="shared" si="56"/>
        <v>4761</v>
      </c>
      <c r="G254" s="2">
        <f t="shared" si="57"/>
        <v>234</v>
      </c>
      <c r="H254" s="45">
        <f t="shared" si="58"/>
        <v>3.677789391068861</v>
      </c>
      <c r="I254" s="45">
        <f t="shared" si="64"/>
        <v>860.60271751011351</v>
      </c>
      <c r="J254" s="46">
        <f t="shared" si="65"/>
        <v>54756</v>
      </c>
      <c r="K254" s="2"/>
      <c r="L254" s="2">
        <f t="shared" si="59"/>
        <v>234</v>
      </c>
      <c r="M254" s="18">
        <f t="shared" si="60"/>
        <v>69</v>
      </c>
      <c r="N254" s="20">
        <v>0</v>
      </c>
      <c r="O254" s="18" cm="1">
        <f t="array" ref="O254">SUMPRODUCT(M$20:M$275*COS(2*PI()*L254/L$19*L$20:L$275)+N$20:N$275*SIN(2*PI()*L254/L$19*L$20:L$275))</f>
        <v>131.8539307597724</v>
      </c>
      <c r="P254" s="20" cm="1">
        <f t="array" ref="P254">SUMPRODUCT(N$20:N$275*COS(2*PI()*L253/L$19*L$20:L$275)+M$20:M$275*SIN(2*PI()*L254/L$19*L$20:L$275))</f>
        <v>118.23398882846624</v>
      </c>
    </row>
    <row r="255" spans="2:16" x14ac:dyDescent="0.35">
      <c r="B255" s="2">
        <f t="shared" si="55"/>
        <v>235</v>
      </c>
      <c r="C255" s="5" t="str">
        <f t="shared" si="61"/>
        <v/>
      </c>
      <c r="D255">
        <f t="shared" si="62"/>
        <v>98</v>
      </c>
      <c r="E255" s="5" t="str">
        <f t="shared" si="63"/>
        <v/>
      </c>
      <c r="F255" s="15">
        <f t="shared" si="56"/>
        <v>9604</v>
      </c>
      <c r="G255" s="2">
        <f t="shared" si="57"/>
        <v>235</v>
      </c>
      <c r="H255" s="45">
        <f t="shared" si="58"/>
        <v>3.9824973691977124</v>
      </c>
      <c r="I255" s="45">
        <f t="shared" si="64"/>
        <v>935.8868817614624</v>
      </c>
      <c r="J255" s="46">
        <f t="shared" si="65"/>
        <v>55225</v>
      </c>
      <c r="K255" s="2"/>
      <c r="L255" s="2">
        <f t="shared" si="59"/>
        <v>235</v>
      </c>
      <c r="M255" s="18">
        <f t="shared" si="60"/>
        <v>98</v>
      </c>
      <c r="N255" s="20">
        <v>0</v>
      </c>
      <c r="O255" s="18" cm="1">
        <f t="array" ref="O255">SUMPRODUCT(M$20:M$275*COS(2*PI()*L255/L$19*L$20:L$275)+N$20:N$275*SIN(2*PI()*L255/L$19*L$20:L$275))</f>
        <v>428.24509221850724</v>
      </c>
      <c r="P255" s="20" cm="1">
        <f t="array" ref="P255">SUMPRODUCT(N$20:N$275*COS(2*PI()*L254/L$19*L$20:L$275)+M$20:M$275*SIN(2*PI()*L255/L$19*L$20:L$275))</f>
        <v>3699.1192595928205</v>
      </c>
    </row>
    <row r="256" spans="2:16" x14ac:dyDescent="0.35">
      <c r="B256" s="2">
        <f t="shared" si="55"/>
        <v>236</v>
      </c>
      <c r="C256" s="5" t="str">
        <f t="shared" si="61"/>
        <v/>
      </c>
      <c r="D256">
        <f t="shared" si="62"/>
        <v>107</v>
      </c>
      <c r="E256" s="5" t="str">
        <f t="shared" si="63"/>
        <v/>
      </c>
      <c r="F256" s="15">
        <f t="shared" si="56"/>
        <v>11449</v>
      </c>
      <c r="G256" s="2">
        <f t="shared" si="57"/>
        <v>236</v>
      </c>
      <c r="H256" s="45">
        <f t="shared" si="58"/>
        <v>4.0588054866759071</v>
      </c>
      <c r="I256" s="45">
        <f t="shared" si="64"/>
        <v>957.87809485551406</v>
      </c>
      <c r="J256" s="46">
        <f t="shared" si="65"/>
        <v>55696</v>
      </c>
      <c r="K256" s="2"/>
      <c r="L256" s="2">
        <f t="shared" si="59"/>
        <v>236</v>
      </c>
      <c r="M256" s="18">
        <f t="shared" si="60"/>
        <v>107</v>
      </c>
      <c r="N256" s="20">
        <v>0</v>
      </c>
      <c r="O256" s="18" cm="1">
        <f t="array" ref="O256">SUMPRODUCT(M$20:M$275*COS(2*PI()*L256/L$19*L$20:L$275)+N$20:N$275*SIN(2*PI()*L256/L$19*L$20:L$275))</f>
        <v>-3913.7471013900645</v>
      </c>
      <c r="P256" s="20" cm="1">
        <f t="array" ref="P256">SUMPRODUCT(N$20:N$275*COS(2*PI()*L255/L$19*L$20:L$275)+M$20:M$275*SIN(2*PI()*L256/L$19*L$20:L$275))</f>
        <v>226.84536708640894</v>
      </c>
    </row>
    <row r="257" spans="2:16" x14ac:dyDescent="0.35">
      <c r="B257" s="2">
        <f t="shared" si="55"/>
        <v>237</v>
      </c>
      <c r="C257" s="5" t="str">
        <f t="shared" si="61"/>
        <v/>
      </c>
      <c r="D257">
        <f t="shared" si="62"/>
        <v>87</v>
      </c>
      <c r="E257" s="5" t="str">
        <f t="shared" si="63"/>
        <v/>
      </c>
      <c r="F257" s="15">
        <f t="shared" si="56"/>
        <v>7569</v>
      </c>
      <c r="G257" s="2">
        <f t="shared" si="57"/>
        <v>237</v>
      </c>
      <c r="H257" s="45">
        <f t="shared" si="58"/>
        <v>3.8790958795000727</v>
      </c>
      <c r="I257" s="45">
        <f t="shared" si="64"/>
        <v>919.34572344151729</v>
      </c>
      <c r="J257" s="46">
        <f t="shared" si="65"/>
        <v>56169</v>
      </c>
      <c r="K257" s="2"/>
      <c r="L257" s="2">
        <f t="shared" si="59"/>
        <v>237</v>
      </c>
      <c r="M257" s="18">
        <f t="shared" si="60"/>
        <v>87</v>
      </c>
      <c r="N257" s="20">
        <v>0</v>
      </c>
      <c r="O257" s="18" cm="1">
        <f t="array" ref="O257">SUMPRODUCT(M$20:M$275*COS(2*PI()*L257/L$19*L$20:L$275)+N$20:N$275*SIN(2*PI()*L257/L$19*L$20:L$275))</f>
        <v>30.176317497307828</v>
      </c>
      <c r="P257" s="20" cm="1">
        <f t="array" ref="P257">SUMPRODUCT(N$20:N$275*COS(2*PI()*L256/L$19*L$20:L$275)+M$20:M$275*SIN(2*PI()*L257/L$19*L$20:L$275))</f>
        <v>-3901.5694972312076</v>
      </c>
    </row>
    <row r="258" spans="2:16" x14ac:dyDescent="0.35">
      <c r="B258" s="2">
        <f t="shared" si="55"/>
        <v>238</v>
      </c>
      <c r="C258" s="5" t="str">
        <f t="shared" si="61"/>
        <v/>
      </c>
      <c r="D258">
        <f t="shared" si="62"/>
        <v>44</v>
      </c>
      <c r="E258" s="5" t="str">
        <f t="shared" si="63"/>
        <v/>
      </c>
      <c r="F258" s="15">
        <f t="shared" si="56"/>
        <v>1936</v>
      </c>
      <c r="G258" s="2">
        <f t="shared" si="57"/>
        <v>238</v>
      </c>
      <c r="H258" s="45">
        <f t="shared" si="58"/>
        <v>3.287129620719111</v>
      </c>
      <c r="I258" s="45">
        <f t="shared" si="64"/>
        <v>782.33684973114839</v>
      </c>
      <c r="J258" s="46">
        <f t="shared" si="65"/>
        <v>56644</v>
      </c>
      <c r="K258" s="2"/>
      <c r="L258" s="2">
        <f t="shared" si="59"/>
        <v>238</v>
      </c>
      <c r="M258" s="18">
        <f t="shared" si="60"/>
        <v>44</v>
      </c>
      <c r="N258" s="20">
        <v>0</v>
      </c>
      <c r="O258" s="18" cm="1">
        <f t="array" ref="O258">SUMPRODUCT(M$20:M$275*COS(2*PI()*L258/L$19*L$20:L$275)+N$20:N$275*SIN(2*PI()*L258/L$19*L$20:L$275))</f>
        <v>225.45716517111808</v>
      </c>
      <c r="P258" s="20" cm="1">
        <f t="array" ref="P258">SUMPRODUCT(N$20:N$275*COS(2*PI()*L257/L$19*L$20:L$275)+M$20:M$275*SIN(2*PI()*L258/L$19*L$20:L$275))</f>
        <v>-1207.7274746400828</v>
      </c>
    </row>
    <row r="259" spans="2:16" x14ac:dyDescent="0.35">
      <c r="B259" s="2">
        <f t="shared" si="55"/>
        <v>239</v>
      </c>
      <c r="C259" s="5" t="str">
        <f t="shared" si="61"/>
        <v/>
      </c>
      <c r="D259">
        <f t="shared" si="62"/>
        <v>4</v>
      </c>
      <c r="E259" s="5" t="str">
        <f t="shared" si="63"/>
        <v/>
      </c>
      <c r="F259" s="15">
        <f t="shared" si="56"/>
        <v>16</v>
      </c>
      <c r="G259" s="2">
        <f t="shared" si="57"/>
        <v>239</v>
      </c>
      <c r="H259" s="45">
        <f t="shared" si="58"/>
        <v>1.2304489213782739</v>
      </c>
      <c r="I259" s="45">
        <f t="shared" si="64"/>
        <v>294.07729220940746</v>
      </c>
      <c r="J259" s="46">
        <f t="shared" si="65"/>
        <v>57121</v>
      </c>
      <c r="K259" s="2"/>
      <c r="L259" s="2">
        <f t="shared" si="59"/>
        <v>239</v>
      </c>
      <c r="M259" s="18">
        <f t="shared" si="60"/>
        <v>4</v>
      </c>
      <c r="N259" s="20">
        <v>0</v>
      </c>
      <c r="O259" s="18" cm="1">
        <f t="array" ref="O259">SUMPRODUCT(M$20:M$275*COS(2*PI()*L259/L$19*L$20:L$275)+N$20:N$275*SIN(2*PI()*L259/L$19*L$20:L$275))</f>
        <v>1155.496202440698</v>
      </c>
      <c r="P259" s="20" cm="1">
        <f t="array" ref="P259">SUMPRODUCT(N$20:N$275*COS(2*PI()*L258/L$19*L$20:L$275)+M$20:M$275*SIN(2*PI()*L259/L$19*L$20:L$275))</f>
        <v>-2304.0769703206711</v>
      </c>
    </row>
    <row r="260" spans="2:16" x14ac:dyDescent="0.35">
      <c r="B260" s="2">
        <f t="shared" si="55"/>
        <v>240</v>
      </c>
      <c r="C260" s="5" t="str">
        <f t="shared" si="61"/>
        <v/>
      </c>
      <c r="D260">
        <f t="shared" si="62"/>
        <v>-19</v>
      </c>
      <c r="E260" s="5">
        <f t="shared" si="63"/>
        <v>1</v>
      </c>
      <c r="F260" s="15">
        <f t="shared" si="56"/>
        <v>361</v>
      </c>
      <c r="G260" s="2">
        <f t="shared" si="57"/>
        <v>240</v>
      </c>
      <c r="H260" s="45">
        <f t="shared" si="58"/>
        <v>2.5587085705331658</v>
      </c>
      <c r="I260" s="45">
        <f t="shared" si="64"/>
        <v>614.09005692795984</v>
      </c>
      <c r="J260" s="46">
        <f t="shared" si="65"/>
        <v>57600</v>
      </c>
      <c r="K260" s="2"/>
      <c r="L260" s="2">
        <f t="shared" si="59"/>
        <v>240</v>
      </c>
      <c r="M260" s="18">
        <f t="shared" si="60"/>
        <v>-19</v>
      </c>
      <c r="N260" s="20">
        <v>0</v>
      </c>
      <c r="O260" s="18" cm="1">
        <f t="array" ref="O260">SUMPRODUCT(M$20:M$275*COS(2*PI()*L260/L$19*L$20:L$275)+N$20:N$275*SIN(2*PI()*L260/L$19*L$20:L$275))</f>
        <v>514.31890460499858</v>
      </c>
      <c r="P260" s="20" cm="1">
        <f t="array" ref="P260">SUMPRODUCT(N$20:N$275*COS(2*PI()*L259/L$19*L$20:L$275)+M$20:M$275*SIN(2*PI()*L260/L$19*L$20:L$275))</f>
        <v>-897.45708141557714</v>
      </c>
    </row>
    <row r="261" spans="2:16" x14ac:dyDescent="0.35">
      <c r="B261" s="2">
        <f t="shared" si="55"/>
        <v>241</v>
      </c>
      <c r="C261" s="5" t="str">
        <f t="shared" si="61"/>
        <v/>
      </c>
      <c r="D261">
        <f t="shared" si="62"/>
        <v>-12</v>
      </c>
      <c r="E261" s="5" t="str">
        <f t="shared" si="63"/>
        <v/>
      </c>
      <c r="F261" s="15">
        <f t="shared" si="56"/>
        <v>144</v>
      </c>
      <c r="G261" s="2">
        <f t="shared" si="57"/>
        <v>241</v>
      </c>
      <c r="H261" s="45">
        <f t="shared" si="58"/>
        <v>2.1613680022349748</v>
      </c>
      <c r="I261" s="45">
        <f t="shared" si="64"/>
        <v>520.88968853862889</v>
      </c>
      <c r="J261" s="46">
        <f t="shared" si="65"/>
        <v>58081</v>
      </c>
      <c r="K261" s="2"/>
      <c r="L261" s="2">
        <f t="shared" si="59"/>
        <v>241</v>
      </c>
      <c r="M261" s="18">
        <f t="shared" si="60"/>
        <v>-12</v>
      </c>
      <c r="N261" s="20">
        <v>0</v>
      </c>
      <c r="O261" s="18" cm="1">
        <f t="array" ref="O261">SUMPRODUCT(M$20:M$275*COS(2*PI()*L261/L$19*L$20:L$275)+N$20:N$275*SIN(2*PI()*L261/L$19*L$20:L$275))</f>
        <v>700.21379808448967</v>
      </c>
      <c r="P261" s="20" cm="1">
        <f t="array" ref="P261">SUMPRODUCT(N$20:N$275*COS(2*PI()*L260/L$19*L$20:L$275)+M$20:M$275*SIN(2*PI()*L261/L$19*L$20:L$275))</f>
        <v>-835.12436177229858</v>
      </c>
    </row>
    <row r="262" spans="2:16" x14ac:dyDescent="0.35">
      <c r="B262" s="2">
        <f t="shared" si="55"/>
        <v>242</v>
      </c>
      <c r="C262" s="5" t="str">
        <f t="shared" si="61"/>
        <v/>
      </c>
      <c r="D262">
        <f t="shared" si="62"/>
        <v>23</v>
      </c>
      <c r="E262" s="5">
        <f t="shared" si="63"/>
        <v>1</v>
      </c>
      <c r="F262" s="15">
        <f t="shared" si="56"/>
        <v>529</v>
      </c>
      <c r="G262" s="2">
        <f t="shared" si="57"/>
        <v>242</v>
      </c>
      <c r="H262" s="45">
        <f t="shared" si="58"/>
        <v>2.7242758696007892</v>
      </c>
      <c r="I262" s="45">
        <f t="shared" si="64"/>
        <v>659.27476044339096</v>
      </c>
      <c r="J262" s="46">
        <f t="shared" si="65"/>
        <v>58564</v>
      </c>
      <c r="K262" s="2"/>
      <c r="L262" s="2">
        <f t="shared" si="59"/>
        <v>242</v>
      </c>
      <c r="M262" s="18">
        <f t="shared" si="60"/>
        <v>23</v>
      </c>
      <c r="N262" s="20">
        <v>0</v>
      </c>
      <c r="O262" s="18" cm="1">
        <f t="array" ref="O262">SUMPRODUCT(M$20:M$275*COS(2*PI()*L262/L$19*L$20:L$275)+N$20:N$275*SIN(2*PI()*L262/L$19*L$20:L$275))</f>
        <v>1893.3305833723932</v>
      </c>
      <c r="P262" s="20" cm="1">
        <f t="array" ref="P262">SUMPRODUCT(N$20:N$275*COS(2*PI()*L261/L$19*L$20:L$275)+M$20:M$275*SIN(2*PI()*L262/L$19*L$20:L$275))</f>
        <v>-2074.8601128220525</v>
      </c>
    </row>
    <row r="263" spans="2:16" x14ac:dyDescent="0.35">
      <c r="B263" s="2">
        <f t="shared" si="55"/>
        <v>243</v>
      </c>
      <c r="C263" s="5" t="str">
        <f t="shared" si="61"/>
        <v/>
      </c>
      <c r="D263">
        <f t="shared" si="62"/>
        <v>39</v>
      </c>
      <c r="E263" s="5" t="str">
        <f t="shared" si="63"/>
        <v/>
      </c>
      <c r="F263" s="15">
        <f t="shared" si="56"/>
        <v>1521</v>
      </c>
      <c r="G263" s="2">
        <f t="shared" si="57"/>
        <v>243</v>
      </c>
      <c r="H263" s="45">
        <f t="shared" si="58"/>
        <v>3.182414652434554</v>
      </c>
      <c r="I263" s="45">
        <f t="shared" si="64"/>
        <v>773.32676054159663</v>
      </c>
      <c r="J263" s="46">
        <f t="shared" si="65"/>
        <v>59049</v>
      </c>
      <c r="K263" s="2"/>
      <c r="L263" s="2">
        <f t="shared" si="59"/>
        <v>243</v>
      </c>
      <c r="M263" s="18">
        <f t="shared" si="60"/>
        <v>39</v>
      </c>
      <c r="N263" s="20">
        <v>0</v>
      </c>
      <c r="O263" s="18" cm="1">
        <f t="array" ref="O263">SUMPRODUCT(M$20:M$275*COS(2*PI()*L263/L$19*L$20:L$275)+N$20:N$275*SIN(2*PI()*L263/L$19*L$20:L$275))</f>
        <v>-598.69660954501614</v>
      </c>
      <c r="P263" s="20" cm="1">
        <f t="array" ref="P263">SUMPRODUCT(N$20:N$275*COS(2*PI()*L262/L$19*L$20:L$275)+M$20:M$275*SIN(2*PI()*L263/L$19*L$20:L$275))</f>
        <v>-2333.5457002804228</v>
      </c>
    </row>
    <row r="264" spans="2:16" x14ac:dyDescent="0.35">
      <c r="B264" s="2">
        <f t="shared" si="55"/>
        <v>244</v>
      </c>
      <c r="C264" s="5" t="str">
        <f t="shared" si="61"/>
        <v/>
      </c>
      <c r="D264">
        <f t="shared" si="62"/>
        <v>17</v>
      </c>
      <c r="E264" s="5" t="str">
        <f t="shared" si="63"/>
        <v/>
      </c>
      <c r="F264" s="15">
        <f t="shared" si="56"/>
        <v>289</v>
      </c>
      <c r="G264" s="2">
        <f t="shared" si="57"/>
        <v>244</v>
      </c>
      <c r="H264" s="45">
        <f t="shared" si="58"/>
        <v>2.4623979978989561</v>
      </c>
      <c r="I264" s="45">
        <f t="shared" si="64"/>
        <v>600.82511148734534</v>
      </c>
      <c r="J264" s="46">
        <f t="shared" si="65"/>
        <v>59536</v>
      </c>
      <c r="K264" s="2"/>
      <c r="L264" s="2">
        <f t="shared" si="59"/>
        <v>244</v>
      </c>
      <c r="M264" s="18">
        <f t="shared" si="60"/>
        <v>17</v>
      </c>
      <c r="N264" s="20">
        <v>0</v>
      </c>
      <c r="O264" s="18" cm="1">
        <f t="array" ref="O264">SUMPRODUCT(M$20:M$275*COS(2*PI()*L264/L$19*L$20:L$275)+N$20:N$275*SIN(2*PI()*L264/L$19*L$20:L$275))</f>
        <v>586.48305200758739</v>
      </c>
      <c r="P264" s="20" cm="1">
        <f t="array" ref="P264">SUMPRODUCT(N$20:N$275*COS(2*PI()*L263/L$19*L$20:L$275)+M$20:M$275*SIN(2*PI()*L264/L$19*L$20:L$275))</f>
        <v>-3619.2491993088192</v>
      </c>
    </row>
    <row r="265" spans="2:16" x14ac:dyDescent="0.35">
      <c r="B265" s="2">
        <f t="shared" si="55"/>
        <v>245</v>
      </c>
      <c r="C265" s="5" t="str">
        <f t="shared" si="61"/>
        <v/>
      </c>
      <c r="D265">
        <f t="shared" si="62"/>
        <v>-19</v>
      </c>
      <c r="E265" s="5">
        <f t="shared" si="63"/>
        <v>1</v>
      </c>
      <c r="F265" s="15">
        <f t="shared" si="56"/>
        <v>361</v>
      </c>
      <c r="G265" s="2">
        <f t="shared" si="57"/>
        <v>245</v>
      </c>
      <c r="H265" s="45">
        <f t="shared" si="58"/>
        <v>2.5587085705331658</v>
      </c>
      <c r="I265" s="45">
        <f t="shared" si="64"/>
        <v>626.88359978062567</v>
      </c>
      <c r="J265" s="46">
        <f t="shared" si="65"/>
        <v>60025</v>
      </c>
      <c r="K265" s="2"/>
      <c r="L265" s="2">
        <f t="shared" si="59"/>
        <v>245</v>
      </c>
      <c r="M265" s="18">
        <f t="shared" si="60"/>
        <v>-19</v>
      </c>
      <c r="N265" s="20">
        <v>0</v>
      </c>
      <c r="O265" s="18" cm="1">
        <f t="array" ref="O265">SUMPRODUCT(M$20:M$275*COS(2*PI()*L265/L$19*L$20:L$275)+N$20:N$275*SIN(2*PI()*L265/L$19*L$20:L$275))</f>
        <v>1465.9606189568904</v>
      </c>
      <c r="P265" s="20" cm="1">
        <f t="array" ref="P265">SUMPRODUCT(N$20:N$275*COS(2*PI()*L264/L$19*L$20:L$275)+M$20:M$275*SIN(2*PI()*L265/L$19*L$20:L$275))</f>
        <v>-1471.3451970753567</v>
      </c>
    </row>
    <row r="266" spans="2:16" x14ac:dyDescent="0.35">
      <c r="B266" s="2">
        <f t="shared" si="55"/>
        <v>246</v>
      </c>
      <c r="C266" s="5" t="str">
        <f t="shared" si="61"/>
        <v/>
      </c>
      <c r="D266">
        <f t="shared" si="62"/>
        <v>-63</v>
      </c>
      <c r="E266" s="5" t="str">
        <f t="shared" si="63"/>
        <v/>
      </c>
      <c r="F266" s="15">
        <f t="shared" si="56"/>
        <v>3969</v>
      </c>
      <c r="G266" s="2">
        <f t="shared" si="57"/>
        <v>246</v>
      </c>
      <c r="H266" s="45">
        <f t="shared" si="58"/>
        <v>3.5987905067631152</v>
      </c>
      <c r="I266" s="45">
        <f t="shared" si="64"/>
        <v>885.30246466372637</v>
      </c>
      <c r="J266" s="46">
        <f t="shared" si="65"/>
        <v>60516</v>
      </c>
      <c r="K266" s="2"/>
      <c r="L266" s="2">
        <f t="shared" si="59"/>
        <v>246</v>
      </c>
      <c r="M266" s="18">
        <f t="shared" si="60"/>
        <v>-63</v>
      </c>
      <c r="N266" s="20">
        <v>0</v>
      </c>
      <c r="O266" s="18" cm="1">
        <f t="array" ref="O266">SUMPRODUCT(M$20:M$275*COS(2*PI()*L266/L$19*L$20:L$275)+N$20:N$275*SIN(2*PI()*L266/L$19*L$20:L$275))</f>
        <v>2544.6586983643751</v>
      </c>
      <c r="P266" s="20" cm="1">
        <f t="array" ref="P266">SUMPRODUCT(N$20:N$275*COS(2*PI()*L265/L$19*L$20:L$275)+M$20:M$275*SIN(2*PI()*L266/L$19*L$20:L$275))</f>
        <v>220.54506702607446</v>
      </c>
    </row>
    <row r="267" spans="2:16" x14ac:dyDescent="0.35">
      <c r="B267" s="2">
        <f t="shared" si="55"/>
        <v>247</v>
      </c>
      <c r="C267" s="5" t="str">
        <f t="shared" si="61"/>
        <v/>
      </c>
      <c r="D267">
        <f t="shared" si="62"/>
        <v>-97</v>
      </c>
      <c r="E267" s="5" t="str">
        <f t="shared" si="63"/>
        <v/>
      </c>
      <c r="F267" s="15">
        <f t="shared" si="56"/>
        <v>9409</v>
      </c>
      <c r="G267" s="2">
        <f t="shared" si="57"/>
        <v>247</v>
      </c>
      <c r="H267" s="45">
        <f t="shared" si="58"/>
        <v>3.973589623427257</v>
      </c>
      <c r="I267" s="45">
        <f t="shared" si="64"/>
        <v>981.47663698653253</v>
      </c>
      <c r="J267" s="46">
        <f t="shared" si="65"/>
        <v>61009</v>
      </c>
      <c r="K267" s="2"/>
      <c r="L267" s="2">
        <f t="shared" si="59"/>
        <v>247</v>
      </c>
      <c r="M267" s="18">
        <f t="shared" si="60"/>
        <v>-97</v>
      </c>
      <c r="N267" s="20">
        <v>0</v>
      </c>
      <c r="O267" s="18" cm="1">
        <f t="array" ref="O267">SUMPRODUCT(M$20:M$275*COS(2*PI()*L267/L$19*L$20:L$275)+N$20:N$275*SIN(2*PI()*L267/L$19*L$20:L$275))</f>
        <v>10523.866157391454</v>
      </c>
      <c r="P267" s="20" cm="1">
        <f t="array" ref="P267">SUMPRODUCT(N$20:N$275*COS(2*PI()*L266/L$19*L$20:L$275)+M$20:M$275*SIN(2*PI()*L267/L$19*L$20:L$275))</f>
        <v>-3101.1953872300678</v>
      </c>
    </row>
    <row r="268" spans="2:16" x14ac:dyDescent="0.35">
      <c r="B268" s="2">
        <f t="shared" si="55"/>
        <v>248</v>
      </c>
      <c r="C268" s="5" t="str">
        <f t="shared" si="61"/>
        <v/>
      </c>
      <c r="D268">
        <f t="shared" si="62"/>
        <v>-112</v>
      </c>
      <c r="E268" s="5" t="str">
        <f t="shared" si="63"/>
        <v/>
      </c>
      <c r="F268" s="15">
        <f t="shared" si="56"/>
        <v>12544</v>
      </c>
      <c r="G268" s="2">
        <f t="shared" si="57"/>
        <v>248</v>
      </c>
      <c r="H268" s="45">
        <f t="shared" si="58"/>
        <v>4.0984706656506296</v>
      </c>
      <c r="I268" s="45">
        <f t="shared" si="64"/>
        <v>1016.4207250813562</v>
      </c>
      <c r="J268" s="46">
        <f t="shared" si="65"/>
        <v>61504</v>
      </c>
      <c r="K268" s="2"/>
      <c r="L268" s="2">
        <f t="shared" si="59"/>
        <v>248</v>
      </c>
      <c r="M268" s="18">
        <f t="shared" si="60"/>
        <v>-112</v>
      </c>
      <c r="N268" s="20">
        <v>0</v>
      </c>
      <c r="O268" s="18" cm="1">
        <f t="array" ref="O268">SUMPRODUCT(M$20:M$275*COS(2*PI()*L268/L$19*L$20:L$275)+N$20:N$275*SIN(2*PI()*L268/L$19*L$20:L$275))</f>
        <v>-6061.2421743130444</v>
      </c>
      <c r="P268" s="20" cm="1">
        <f t="array" ref="P268">SUMPRODUCT(N$20:N$275*COS(2*PI()*L267/L$19*L$20:L$275)+M$20:M$275*SIN(2*PI()*L268/L$19*L$20:L$275))</f>
        <v>6500.9690053097984</v>
      </c>
    </row>
    <row r="269" spans="2:16" x14ac:dyDescent="0.35">
      <c r="B269" s="2">
        <f t="shared" si="55"/>
        <v>249</v>
      </c>
      <c r="C269" s="5" t="str">
        <f t="shared" si="61"/>
        <v/>
      </c>
      <c r="D269">
        <f t="shared" si="62"/>
        <v>-109</v>
      </c>
      <c r="E269" s="5" t="str">
        <f t="shared" si="63"/>
        <v/>
      </c>
      <c r="F269" s="15">
        <f t="shared" si="56"/>
        <v>11881</v>
      </c>
      <c r="G269" s="2">
        <f t="shared" si="57"/>
        <v>249</v>
      </c>
      <c r="H269" s="45">
        <f t="shared" si="58"/>
        <v>4.0748895480406686</v>
      </c>
      <c r="I269" s="45">
        <f t="shared" si="64"/>
        <v>1014.6474974621265</v>
      </c>
      <c r="J269" s="46">
        <f t="shared" si="65"/>
        <v>62001</v>
      </c>
      <c r="K269" s="2"/>
      <c r="L269" s="2">
        <f t="shared" si="59"/>
        <v>249</v>
      </c>
      <c r="M269" s="18">
        <f t="shared" si="60"/>
        <v>-109</v>
      </c>
      <c r="N269" s="20">
        <v>0</v>
      </c>
      <c r="O269" s="18" cm="1">
        <f t="array" ref="O269">SUMPRODUCT(M$20:M$275*COS(2*PI()*L269/L$19*L$20:L$275)+N$20:N$275*SIN(2*PI()*L269/L$19*L$20:L$275))</f>
        <v>-12057.190895418515</v>
      </c>
      <c r="P269" s="20" cm="1">
        <f t="array" ref="P269">SUMPRODUCT(N$20:N$275*COS(2*PI()*L268/L$19*L$20:L$275)+M$20:M$275*SIN(2*PI()*L269/L$19*L$20:L$275))</f>
        <v>-8765.4470318852455</v>
      </c>
    </row>
    <row r="270" spans="2:16" x14ac:dyDescent="0.35">
      <c r="B270" s="2">
        <f t="shared" si="55"/>
        <v>250</v>
      </c>
      <c r="C270" s="5" t="str">
        <f t="shared" si="61"/>
        <v/>
      </c>
      <c r="D270">
        <f t="shared" si="62"/>
        <v>-118</v>
      </c>
      <c r="E270" s="5" t="str">
        <f t="shared" si="63"/>
        <v/>
      </c>
      <c r="F270" s="15">
        <f t="shared" si="56"/>
        <v>13924</v>
      </c>
      <c r="G270" s="2">
        <f t="shared" si="57"/>
        <v>250</v>
      </c>
      <c r="H270" s="45">
        <f t="shared" si="58"/>
        <v>4.1437952038457668</v>
      </c>
      <c r="I270" s="45">
        <f t="shared" si="64"/>
        <v>1035.9488009614417</v>
      </c>
      <c r="J270" s="46">
        <f t="shared" si="65"/>
        <v>62500</v>
      </c>
      <c r="K270" s="2"/>
      <c r="L270" s="2">
        <f t="shared" si="59"/>
        <v>250</v>
      </c>
      <c r="M270" s="18">
        <f t="shared" si="60"/>
        <v>-118</v>
      </c>
      <c r="N270" s="20">
        <v>0</v>
      </c>
      <c r="O270" s="18" cm="1">
        <f t="array" ref="O270">SUMPRODUCT(M$20:M$275*COS(2*PI()*L270/L$19*L$20:L$275)+N$20:N$275*SIN(2*PI()*L270/L$19*L$20:L$275))</f>
        <v>8437.8351110809272</v>
      </c>
      <c r="P270" s="20" cm="1">
        <f t="array" ref="P270">SUMPRODUCT(N$20:N$275*COS(2*PI()*L269/L$19*L$20:L$275)+M$20:M$275*SIN(2*PI()*L270/L$19*L$20:L$275))</f>
        <v>-7195.9912689164139</v>
      </c>
    </row>
    <row r="271" spans="2:16" x14ac:dyDescent="0.35">
      <c r="B271" s="2">
        <f>B270+1</f>
        <v>251</v>
      </c>
      <c r="C271" s="5">
        <f t="shared" si="61"/>
        <v>7.0209790209790208</v>
      </c>
      <c r="D271">
        <f t="shared" si="62"/>
        <v>-124</v>
      </c>
      <c r="E271" s="5" t="str">
        <f t="shared" si="63"/>
        <v/>
      </c>
      <c r="F271" s="15">
        <f t="shared" si="56"/>
        <v>15376</v>
      </c>
      <c r="G271" s="2">
        <f t="shared" si="57"/>
        <v>251</v>
      </c>
      <c r="H271" s="45">
        <f t="shared" si="58"/>
        <v>4.1868716143645353</v>
      </c>
      <c r="I271" s="45">
        <f t="shared" si="64"/>
        <v>1050.9047752054983</v>
      </c>
      <c r="J271" s="46">
        <f t="shared" si="65"/>
        <v>63001</v>
      </c>
      <c r="K271" s="2"/>
      <c r="L271" s="2">
        <f t="shared" si="59"/>
        <v>251</v>
      </c>
      <c r="M271" s="18">
        <f t="shared" si="60"/>
        <v>-124</v>
      </c>
      <c r="N271" s="20">
        <v>0</v>
      </c>
      <c r="O271" s="18" cm="1">
        <f t="array" ref="O271">SUMPRODUCT(M$20:M$275*COS(2*PI()*L271/L$19*L$20:L$275)+N$20:N$275*SIN(2*PI()*L271/L$19*L$20:L$275))</f>
        <v>1311.3093344077774</v>
      </c>
      <c r="P271" s="20" cm="1">
        <f t="array" ref="P271">SUMPRODUCT(N$20:N$275*COS(2*PI()*L270/L$19*L$20:L$275)+M$20:M$275*SIN(2*PI()*L271/L$19*L$20:L$275))</f>
        <v>-1029.5320312061722</v>
      </c>
    </row>
    <row r="272" spans="2:16" x14ac:dyDescent="0.35">
      <c r="B272" s="2">
        <f>B271+1</f>
        <v>252</v>
      </c>
      <c r="C272" s="5" t="str">
        <f t="shared" si="61"/>
        <v/>
      </c>
      <c r="D272">
        <f t="shared" si="62"/>
        <v>-96</v>
      </c>
      <c r="E272" s="5" t="str">
        <f t="shared" si="63"/>
        <v/>
      </c>
      <c r="F272" s="15">
        <f t="shared" si="56"/>
        <v>9216</v>
      </c>
      <c r="G272" s="2">
        <f t="shared" si="57"/>
        <v>252</v>
      </c>
      <c r="H272" s="45">
        <f t="shared" si="58"/>
        <v>3.9645895874899035</v>
      </c>
      <c r="I272" s="45">
        <f t="shared" si="64"/>
        <v>999.07657604745566</v>
      </c>
      <c r="J272" s="46">
        <f t="shared" si="65"/>
        <v>63504</v>
      </c>
      <c r="K272" s="2"/>
      <c r="L272" s="2">
        <f t="shared" si="59"/>
        <v>252</v>
      </c>
      <c r="M272" s="18">
        <f t="shared" si="60"/>
        <v>-96</v>
      </c>
      <c r="N272" s="20">
        <v>0</v>
      </c>
      <c r="O272" s="18" cm="1">
        <f t="array" ref="O272">SUMPRODUCT(M$20:M$275*COS(2*PI()*L272/L$19*L$20:L$275)+N$20:N$275*SIN(2*PI()*L272/L$19*L$20:L$275))</f>
        <v>-627.23485844995264</v>
      </c>
      <c r="P272" s="20" cm="1">
        <f t="array" ref="P272">SUMPRODUCT(N$20:N$275*COS(2*PI()*L271/L$19*L$20:L$275)+M$20:M$275*SIN(2*PI()*L272/L$19*L$20:L$275))</f>
        <v>-1375.2787732031939</v>
      </c>
    </row>
    <row r="273" spans="2:16" x14ac:dyDescent="0.35">
      <c r="B273" s="2">
        <f>B272+1</f>
        <v>253</v>
      </c>
      <c r="C273" s="5" t="str">
        <f t="shared" si="61"/>
        <v/>
      </c>
      <c r="D273">
        <f t="shared" si="62"/>
        <v>-40</v>
      </c>
      <c r="E273" s="5" t="str">
        <f t="shared" si="63"/>
        <v/>
      </c>
      <c r="F273" s="15">
        <f t="shared" si="56"/>
        <v>1600</v>
      </c>
      <c r="G273" s="2">
        <f t="shared" si="57"/>
        <v>253</v>
      </c>
      <c r="H273" s="45">
        <f t="shared" si="58"/>
        <v>3.2043913319192998</v>
      </c>
      <c r="I273" s="45">
        <f t="shared" si="64"/>
        <v>810.7110069755829</v>
      </c>
      <c r="J273" s="46">
        <f t="shared" si="65"/>
        <v>64009</v>
      </c>
      <c r="K273" s="2"/>
      <c r="L273" s="2">
        <f t="shared" si="59"/>
        <v>253</v>
      </c>
      <c r="M273" s="18">
        <f t="shared" si="60"/>
        <v>-40</v>
      </c>
      <c r="N273" s="20">
        <v>0</v>
      </c>
      <c r="O273" s="18" cm="1">
        <f t="array" ref="O273">SUMPRODUCT(M$20:M$275*COS(2*PI()*L273/L$19*L$20:L$275)+N$20:N$275*SIN(2*PI()*L273/L$19*L$20:L$275))</f>
        <v>4726.1010892251461</v>
      </c>
      <c r="P273" s="20" cm="1">
        <f t="array" ref="P273">SUMPRODUCT(N$20:N$275*COS(2*PI()*L272/L$19*L$20:L$275)+M$20:M$275*SIN(2*PI()*L273/L$19*L$20:L$275))</f>
        <v>401.03953202493511</v>
      </c>
    </row>
    <row r="274" spans="2:16" x14ac:dyDescent="0.35">
      <c r="B274" s="2">
        <f>B273+1</f>
        <v>254</v>
      </c>
      <c r="C274" s="5" t="str">
        <f t="shared" si="61"/>
        <v/>
      </c>
      <c r="D274">
        <f t="shared" si="62"/>
        <v>-2</v>
      </c>
      <c r="E274" s="5" t="str">
        <f t="shared" si="63"/>
        <v/>
      </c>
      <c r="F274" s="15">
        <f t="shared" si="56"/>
        <v>4</v>
      </c>
      <c r="G274" s="2">
        <f t="shared" si="57"/>
        <v>254</v>
      </c>
      <c r="H274" s="45">
        <f t="shared" si="58"/>
        <v>0.69897000433601886</v>
      </c>
      <c r="I274" s="45">
        <f t="shared" si="64"/>
        <v>177.53838110134879</v>
      </c>
      <c r="J274" s="46">
        <f t="shared" si="65"/>
        <v>64516</v>
      </c>
      <c r="K274" s="2"/>
      <c r="L274" s="2">
        <f t="shared" si="59"/>
        <v>254</v>
      </c>
      <c r="M274" s="18">
        <f t="shared" si="60"/>
        <v>-2</v>
      </c>
      <c r="N274" s="20">
        <v>0</v>
      </c>
      <c r="O274" s="18" cm="1">
        <f t="array" ref="O274">SUMPRODUCT(M$20:M$275*COS(2*PI()*L274/L$19*L$20:L$275)+N$20:N$275*SIN(2*PI()*L274/L$19*L$20:L$275))</f>
        <v>1868.6494035107537</v>
      </c>
      <c r="P274" s="20" cm="1">
        <f t="array" ref="P274">SUMPRODUCT(N$20:N$275*COS(2*PI()*L273/L$19*L$20:L$275)+M$20:M$275*SIN(2*PI()*L274/L$19*L$20:L$275))</f>
        <v>754.80736944476394</v>
      </c>
    </row>
    <row r="275" spans="2:16" x14ac:dyDescent="0.35">
      <c r="B275" s="2">
        <f>B274+1</f>
        <v>255</v>
      </c>
      <c r="C275" s="5" t="str">
        <f t="shared" si="61"/>
        <v/>
      </c>
      <c r="D275" s="3">
        <f>INT(MID(A$3,FIND("#", SUBSTITUTE(A$3, ",", "#", B275)) + 1, FIND("}", A$3) - FIND("#", SUBSTITUTE(A$3, ",", "#", B275))-1))</f>
        <v>4</v>
      </c>
      <c r="E275" s="5">
        <f t="shared" si="63"/>
        <v>1</v>
      </c>
      <c r="F275" s="15">
        <f t="shared" si="56"/>
        <v>16</v>
      </c>
      <c r="G275" s="2">
        <f t="shared" si="57"/>
        <v>255</v>
      </c>
      <c r="H275" s="45">
        <f t="shared" si="58"/>
        <v>1.2304489213782739</v>
      </c>
      <c r="I275" s="45">
        <f t="shared" si="64"/>
        <v>313.76447495145982</v>
      </c>
      <c r="J275" s="46">
        <f t="shared" si="65"/>
        <v>65025</v>
      </c>
      <c r="K275" s="2"/>
      <c r="L275" s="2">
        <f t="shared" si="59"/>
        <v>255</v>
      </c>
      <c r="M275" s="18">
        <f t="shared" si="60"/>
        <v>4</v>
      </c>
      <c r="N275" s="20">
        <v>0</v>
      </c>
      <c r="O275" s="18" cm="1">
        <f t="array" ref="O275">SUMPRODUCT(M$20:M$275*COS(2*PI()*L275/L$19*L$20:L$275)+N$20:N$275*SIN(2*PI()*L275/L$19*L$20:L$275))</f>
        <v>2963.0150631664646</v>
      </c>
      <c r="P275" s="20" cm="1">
        <f t="array" ref="P275">SUMPRODUCT(N$20:N$275*COS(2*PI()*L274/L$19*L$20:L$275)+M$20:M$275*SIN(2*PI()*L275/L$19*L$20:L$275))</f>
        <v>-2318.7460954956255</v>
      </c>
    </row>
  </sheetData>
  <mergeCells count="29">
    <mergeCell ref="X18:X19"/>
    <mergeCell ref="Y18:Y19"/>
    <mergeCell ref="AB18:AE18"/>
    <mergeCell ref="AB19:AC19"/>
    <mergeCell ref="AD19:AE19"/>
    <mergeCell ref="L4:P4"/>
    <mergeCell ref="D18:D19"/>
    <mergeCell ref="C18:C19"/>
    <mergeCell ref="G18:G19"/>
    <mergeCell ref="H18:H19"/>
    <mergeCell ref="I18:I19"/>
    <mergeCell ref="J18:J19"/>
    <mergeCell ref="F18:F19"/>
    <mergeCell ref="A4:A17"/>
    <mergeCell ref="AG18:AG20"/>
    <mergeCell ref="AI5:AL17"/>
    <mergeCell ref="AK19:AK20"/>
    <mergeCell ref="AI4:AL4"/>
    <mergeCell ref="AA4:AF4"/>
    <mergeCell ref="B4:D4"/>
    <mergeCell ref="F4:J4"/>
    <mergeCell ref="R4:T4"/>
    <mergeCell ref="M18:N18"/>
    <mergeCell ref="O18:P18"/>
    <mergeCell ref="S18:S19"/>
    <mergeCell ref="V18:V19"/>
    <mergeCell ref="V4:Y4"/>
    <mergeCell ref="AF18:AF19"/>
    <mergeCell ref="T18:T19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Delovni listi</vt:lpstr>
      </vt:variant>
      <vt:variant>
        <vt:i4>1</vt:i4>
      </vt:variant>
    </vt:vector>
  </HeadingPairs>
  <TitlesOfParts>
    <vt:vector size="1" baseType="lpstr">
      <vt:lpstr>Digital signal processing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2025-11-02T11:56:02Z</dcterms:created>
  <dcterms:modified xsi:type="dcterms:W3CDTF">2025-11-02T11:56:10Z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9fc6f63-046c-41f3-ba25-1437516571c5_Enabled">
    <vt:lpwstr>true</vt:lpwstr>
  </property>
  <property fmtid="{D5CDD505-2E9C-101B-9397-08002B2CF9AE}" pid="3" name="MSIP_Label_b9fc6f63-046c-41f3-ba25-1437516571c5_SetDate">
    <vt:lpwstr>2025-11-02T11:56:10Z</vt:lpwstr>
  </property>
  <property fmtid="{D5CDD505-2E9C-101B-9397-08002B2CF9AE}" pid="4" name="MSIP_Label_b9fc6f63-046c-41f3-ba25-1437516571c5_Method">
    <vt:lpwstr>Standard</vt:lpwstr>
  </property>
  <property fmtid="{D5CDD505-2E9C-101B-9397-08002B2CF9AE}" pid="5" name="MSIP_Label_b9fc6f63-046c-41f3-ba25-1437516571c5_Name">
    <vt:lpwstr>NIZKA ZAUPNOST</vt:lpwstr>
  </property>
  <property fmtid="{D5CDD505-2E9C-101B-9397-08002B2CF9AE}" pid="6" name="MSIP_Label_b9fc6f63-046c-41f3-ba25-1437516571c5_SiteId">
    <vt:lpwstr>6b50702c-caff-40f2-86bd-da9c41fd299b</vt:lpwstr>
  </property>
  <property fmtid="{D5CDD505-2E9C-101B-9397-08002B2CF9AE}" pid="7" name="MSIP_Label_b9fc6f63-046c-41f3-ba25-1437516571c5_ActionId">
    <vt:lpwstr>8b1576df-03fb-46a3-ae95-8d455f2fce5d</vt:lpwstr>
  </property>
  <property fmtid="{D5CDD505-2E9C-101B-9397-08002B2CF9AE}" pid="8" name="MSIP_Label_b9fc6f63-046c-41f3-ba25-1437516571c5_ContentBits">
    <vt:lpwstr>0</vt:lpwstr>
  </property>
</Properties>
</file>